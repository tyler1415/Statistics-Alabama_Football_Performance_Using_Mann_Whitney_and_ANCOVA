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workbookPr defaultThemeVersion="202300"/>
  <mc:AlternateContent xmlns:mc="http://schemas.openxmlformats.org/markup-compatibility/2006">
    <mc:Choice Requires="x15">
      <x15ac:absPath xmlns:x15ac="http://schemas.microsoft.com/office/spreadsheetml/2010/11/ac" url="https://d.docs.live.net/972011027c601991/Desktop/Output/Statistics-Alabama_Football_Performance_Using_Mann_Whitney_and_ANCOVA/"/>
    </mc:Choice>
  </mc:AlternateContent>
  <xr:revisionPtr revIDLastSave="2" documentId="8_{5DE70386-FB52-4209-B3D6-D93298DE4B56}" xr6:coauthVersionLast="47" xr6:coauthVersionMax="47" xr10:uidLastSave="{55AFE843-D6A2-4297-8563-E020CAAA25B5}"/>
  <bookViews>
    <workbookView xWindow="-108" yWindow="-108" windowWidth="23256" windowHeight="13896" tabRatio="888" activeTab="3" xr2:uid="{615D5EA7-C628-4F9B-BFE0-6C1CE7884FBD}"/>
  </bookViews>
  <sheets>
    <sheet name="Question" sheetId="9" r:id="rId1"/>
    <sheet name="Data" sheetId="2" r:id="rId2"/>
    <sheet name="Mann Whitney U Analysis" sheetId="3" r:id="rId3"/>
    <sheet name="ANCOVA Analysis" sheetId="4" r:id="rId4"/>
    <sheet name="Alabama_Football_Testing" sheetId="7" r:id="rId5"/>
    <sheet name="ANCOVA Assumption Testing" sheetId="8" r:id="rId6"/>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2" i="4" l="1"/>
  <c r="Q2" i="4"/>
  <c r="Q3" i="4"/>
  <c r="O2" i="4"/>
  <c r="N2" i="4"/>
  <c r="N3" i="4"/>
  <c r="N4" i="4"/>
  <c r="N5" i="4"/>
  <c r="N6" i="4"/>
  <c r="N7" i="4"/>
  <c r="N8" i="4"/>
  <c r="N9" i="4"/>
  <c r="N10" i="4"/>
  <c r="N11" i="4"/>
  <c r="N12" i="4"/>
  <c r="N13" i="4"/>
  <c r="N14" i="4"/>
  <c r="N15" i="4"/>
  <c r="N16" i="4"/>
  <c r="N17" i="4"/>
  <c r="N18" i="4"/>
  <c r="N19" i="4"/>
  <c r="N20" i="4"/>
  <c r="N21" i="4"/>
  <c r="N22" i="4"/>
  <c r="N23" i="4"/>
  <c r="N24" i="4"/>
  <c r="N25" i="4"/>
  <c r="N26" i="4"/>
  <c r="N27" i="4"/>
  <c r="N28" i="4"/>
  <c r="N29" i="4"/>
  <c r="N30" i="4"/>
  <c r="N31" i="4"/>
  <c r="N32" i="4"/>
  <c r="N33" i="4"/>
  <c r="N34" i="4"/>
  <c r="N35" i="4"/>
  <c r="N36" i="4"/>
  <c r="N37" i="4"/>
  <c r="N38" i="4"/>
  <c r="N39" i="4"/>
  <c r="N40" i="4"/>
  <c r="N41" i="4"/>
  <c r="N42" i="4"/>
  <c r="N43" i="4"/>
  <c r="N44" i="4"/>
  <c r="N45" i="4"/>
  <c r="N46" i="4"/>
  <c r="N47" i="4"/>
  <c r="N48" i="4"/>
  <c r="N49" i="4"/>
  <c r="N50" i="4"/>
  <c r="N51" i="4"/>
  <c r="N52" i="4"/>
  <c r="N53" i="4"/>
  <c r="N54" i="4"/>
  <c r="N55" i="4"/>
  <c r="N56" i="4"/>
  <c r="N57" i="4"/>
  <c r="N58" i="4"/>
  <c r="N59" i="4"/>
  <c r="N60" i="4"/>
  <c r="N61" i="4"/>
  <c r="N62" i="4"/>
  <c r="N63" i="4"/>
  <c r="N64" i="4"/>
  <c r="N65" i="4"/>
  <c r="N66" i="4"/>
  <c r="N67" i="4"/>
  <c r="N68" i="4"/>
  <c r="N69" i="4"/>
  <c r="N70" i="4"/>
  <c r="N71" i="4"/>
  <c r="N72" i="4"/>
  <c r="N73" i="4"/>
  <c r="N74" i="4"/>
  <c r="N75" i="4"/>
  <c r="N76" i="4"/>
  <c r="N77" i="4"/>
  <c r="N78" i="4"/>
  <c r="N79" i="4"/>
  <c r="N80" i="4"/>
  <c r="N81" i="4"/>
  <c r="N82" i="4"/>
  <c r="N83" i="4"/>
  <c r="N84" i="4"/>
  <c r="N85" i="4"/>
  <c r="N86" i="4"/>
  <c r="N87" i="4"/>
  <c r="N88" i="4"/>
  <c r="N89" i="4"/>
  <c r="N90" i="4"/>
  <c r="N91" i="4"/>
  <c r="N92" i="4"/>
  <c r="N93" i="4"/>
  <c r="N94" i="4"/>
  <c r="N95" i="4"/>
  <c r="N96" i="4"/>
  <c r="N97" i="4"/>
  <c r="N98" i="4"/>
  <c r="N99" i="4"/>
  <c r="N100" i="4"/>
  <c r="N101" i="4"/>
  <c r="N102" i="4"/>
  <c r="N103" i="4"/>
  <c r="N104" i="4"/>
  <c r="N105" i="4"/>
  <c r="N106" i="4"/>
  <c r="N107" i="4"/>
  <c r="N108" i="4"/>
  <c r="N109" i="4"/>
  <c r="N110" i="4"/>
  <c r="N111" i="4"/>
  <c r="N112" i="4"/>
  <c r="N113" i="4"/>
  <c r="N114" i="4"/>
  <c r="N115" i="4"/>
  <c r="N116" i="4"/>
  <c r="N117" i="4"/>
  <c r="N118" i="4"/>
  <c r="N119" i="4"/>
  <c r="N120" i="4"/>
  <c r="N121" i="4"/>
  <c r="N122" i="4"/>
  <c r="N123" i="4"/>
  <c r="N124" i="4"/>
  <c r="N125" i="4"/>
  <c r="N126" i="4"/>
  <c r="N127" i="4"/>
  <c r="N128" i="4"/>
  <c r="N129" i="4"/>
  <c r="N130" i="4"/>
  <c r="N131" i="4"/>
  <c r="N132" i="4"/>
  <c r="N133" i="4"/>
  <c r="N134" i="4"/>
  <c r="N135" i="4"/>
  <c r="N136" i="4"/>
  <c r="N137" i="4"/>
  <c r="N138" i="4"/>
  <c r="N139" i="4"/>
  <c r="N140" i="4"/>
  <c r="N141" i="4"/>
  <c r="N142" i="4"/>
  <c r="N143" i="4"/>
  <c r="N144" i="4"/>
  <c r="N145" i="4"/>
  <c r="N146" i="4"/>
  <c r="N147" i="4"/>
  <c r="N148" i="4"/>
  <c r="N149" i="4"/>
  <c r="N150" i="4"/>
  <c r="N151" i="4"/>
  <c r="N152" i="4"/>
  <c r="N153" i="4"/>
  <c r="N154" i="4"/>
  <c r="N155" i="4"/>
  <c r="N156" i="4"/>
  <c r="N157" i="4"/>
  <c r="N158" i="4"/>
  <c r="N159" i="4"/>
  <c r="N160" i="4"/>
  <c r="N161" i="4"/>
  <c r="N162" i="4"/>
  <c r="N163" i="4"/>
  <c r="N164" i="4"/>
  <c r="N165" i="4"/>
  <c r="N166" i="4"/>
  <c r="N167" i="4"/>
  <c r="N168" i="4"/>
  <c r="N169" i="4"/>
  <c r="N170" i="4"/>
  <c r="N171" i="4"/>
  <c r="N172" i="4"/>
  <c r="N173" i="4"/>
  <c r="N174" i="4"/>
  <c r="N175" i="4"/>
  <c r="N176" i="4"/>
  <c r="N177" i="4"/>
  <c r="N178" i="4"/>
  <c r="N179" i="4"/>
  <c r="N180" i="4"/>
  <c r="N181" i="4"/>
  <c r="N182" i="4"/>
  <c r="N183" i="4"/>
  <c r="N184" i="4"/>
  <c r="N185" i="4"/>
  <c r="N186" i="4"/>
  <c r="N187" i="4"/>
  <c r="N188" i="4"/>
  <c r="N189" i="4"/>
  <c r="N190" i="4"/>
  <c r="N191" i="4"/>
  <c r="N192" i="4"/>
  <c r="N193" i="4"/>
  <c r="N194" i="4"/>
  <c r="N195" i="4"/>
  <c r="N196" i="4"/>
  <c r="N197" i="4"/>
  <c r="N198" i="4"/>
  <c r="N199" i="4"/>
  <c r="N200" i="4"/>
  <c r="N201" i="4"/>
  <c r="N202" i="4"/>
  <c r="N203" i="4"/>
  <c r="N204" i="4"/>
  <c r="N205" i="4"/>
  <c r="N206" i="4"/>
  <c r="N207" i="4"/>
  <c r="N208" i="4"/>
  <c r="N209" i="4"/>
  <c r="N210" i="4"/>
  <c r="N211" i="4"/>
  <c r="N212" i="4"/>
  <c r="N213" i="4"/>
  <c r="N214" i="4"/>
  <c r="N215" i="4"/>
  <c r="N216" i="4"/>
  <c r="N217" i="4"/>
  <c r="N218" i="4"/>
  <c r="N219" i="4"/>
  <c r="N220" i="4"/>
  <c r="N221" i="4"/>
  <c r="N222" i="4"/>
  <c r="N223" i="4"/>
  <c r="N224" i="4"/>
  <c r="N225" i="4"/>
  <c r="N226" i="4"/>
  <c r="N227" i="4"/>
  <c r="N228" i="4"/>
  <c r="N229" i="4"/>
  <c r="N230" i="4"/>
  <c r="N231" i="4"/>
  <c r="N232" i="4"/>
  <c r="N233" i="4"/>
  <c r="N234" i="4"/>
  <c r="N235" i="4"/>
  <c r="N236" i="4"/>
  <c r="N237" i="4"/>
  <c r="N238" i="4"/>
  <c r="N239" i="4"/>
  <c r="N240" i="4"/>
  <c r="N241" i="4"/>
  <c r="N242" i="4"/>
  <c r="N243" i="4"/>
  <c r="N244" i="4"/>
  <c r="N245" i="4"/>
  <c r="N246" i="4"/>
  <c r="N247" i="4"/>
  <c r="N248" i="4"/>
  <c r="N249" i="4"/>
  <c r="N250" i="4"/>
  <c r="N251" i="4"/>
  <c r="N252" i="4"/>
  <c r="N253" i="4"/>
  <c r="N254" i="4"/>
  <c r="N255" i="4"/>
  <c r="N256" i="4"/>
  <c r="N257" i="4"/>
  <c r="N258" i="4"/>
  <c r="N259" i="4"/>
  <c r="N260" i="4"/>
  <c r="N261" i="4"/>
  <c r="N262" i="4"/>
  <c r="N263" i="4"/>
  <c r="N264" i="4"/>
  <c r="O3" i="4"/>
  <c r="O4" i="4"/>
  <c r="O5" i="4"/>
  <c r="O6" i="4"/>
  <c r="O7" i="4"/>
  <c r="O8" i="4"/>
  <c r="O9" i="4"/>
  <c r="O10"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2"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O97" i="4"/>
  <c r="O98" i="4"/>
  <c r="O99" i="4"/>
  <c r="O100" i="4"/>
  <c r="O101" i="4"/>
  <c r="O102" i="4"/>
  <c r="O103" i="4"/>
  <c r="O104" i="4"/>
  <c r="O105" i="4"/>
  <c r="O106" i="4"/>
  <c r="O107" i="4"/>
  <c r="O108" i="4"/>
  <c r="O109" i="4"/>
  <c r="O110" i="4"/>
  <c r="O111" i="4"/>
  <c r="O112" i="4"/>
  <c r="O113" i="4"/>
  <c r="O114" i="4"/>
  <c r="O115" i="4"/>
  <c r="O116" i="4"/>
  <c r="O117" i="4"/>
  <c r="O118" i="4"/>
  <c r="O119" i="4"/>
  <c r="O120" i="4"/>
  <c r="O121" i="4"/>
  <c r="O122" i="4"/>
  <c r="O123" i="4"/>
  <c r="O124" i="4"/>
  <c r="O125" i="4"/>
  <c r="O126" i="4"/>
  <c r="O127" i="4"/>
  <c r="O128" i="4"/>
  <c r="O129" i="4"/>
  <c r="O130" i="4"/>
  <c r="O131" i="4"/>
  <c r="O132" i="4"/>
  <c r="O133" i="4"/>
  <c r="O134" i="4"/>
  <c r="O135" i="4"/>
  <c r="O136" i="4"/>
  <c r="O137" i="4"/>
  <c r="O138" i="4"/>
  <c r="O139" i="4"/>
  <c r="O140" i="4"/>
  <c r="O141" i="4"/>
  <c r="O142" i="4"/>
  <c r="O143" i="4"/>
  <c r="O144" i="4"/>
  <c r="O145" i="4"/>
  <c r="O146" i="4"/>
  <c r="O147" i="4"/>
  <c r="O148" i="4"/>
  <c r="O149" i="4"/>
  <c r="O150" i="4"/>
  <c r="O151" i="4"/>
  <c r="O152" i="4"/>
  <c r="O153" i="4"/>
  <c r="O154" i="4"/>
  <c r="O155" i="4"/>
  <c r="O156" i="4"/>
  <c r="O157" i="4"/>
  <c r="O158" i="4"/>
  <c r="O159" i="4"/>
  <c r="O160" i="4"/>
  <c r="O161" i="4"/>
  <c r="O162" i="4"/>
  <c r="O163" i="4"/>
  <c r="O164" i="4"/>
  <c r="O165" i="4"/>
  <c r="O166" i="4"/>
  <c r="O167" i="4"/>
  <c r="O168" i="4"/>
  <c r="O169" i="4"/>
  <c r="O170" i="4"/>
  <c r="O171" i="4"/>
  <c r="O172" i="4"/>
  <c r="O173" i="4"/>
  <c r="O174" i="4"/>
  <c r="O175" i="4"/>
  <c r="O176" i="4"/>
  <c r="O177" i="4"/>
  <c r="O178" i="4"/>
  <c r="O179" i="4"/>
  <c r="O180" i="4"/>
  <c r="O181" i="4"/>
  <c r="O182" i="4"/>
  <c r="O183" i="4"/>
  <c r="O184" i="4"/>
  <c r="O185" i="4"/>
  <c r="O186" i="4"/>
  <c r="O187" i="4"/>
  <c r="O188" i="4"/>
  <c r="O189" i="4"/>
  <c r="O190" i="4"/>
  <c r="O191" i="4"/>
  <c r="O192" i="4"/>
  <c r="O193" i="4"/>
  <c r="O194" i="4"/>
  <c r="O195" i="4"/>
  <c r="O196" i="4"/>
  <c r="O197" i="4"/>
  <c r="O198" i="4"/>
  <c r="O199" i="4"/>
  <c r="O200" i="4"/>
  <c r="O201" i="4"/>
  <c r="O202" i="4"/>
  <c r="O203" i="4"/>
  <c r="O204" i="4"/>
  <c r="O205" i="4"/>
  <c r="O206" i="4"/>
  <c r="O207" i="4"/>
  <c r="O208" i="4"/>
  <c r="O209" i="4"/>
  <c r="O210" i="4"/>
  <c r="O211" i="4"/>
  <c r="O212" i="4"/>
  <c r="O213" i="4"/>
  <c r="O214" i="4"/>
  <c r="O215" i="4"/>
  <c r="O216" i="4"/>
  <c r="O217" i="4"/>
  <c r="O218" i="4"/>
  <c r="O219" i="4"/>
  <c r="O220" i="4"/>
  <c r="O221" i="4"/>
  <c r="O222" i="4"/>
  <c r="O223" i="4"/>
  <c r="O224" i="4"/>
  <c r="O225" i="4"/>
  <c r="O226" i="4"/>
  <c r="O227" i="4"/>
  <c r="O228" i="4"/>
  <c r="O229" i="4"/>
  <c r="O230" i="4"/>
  <c r="O231" i="4"/>
  <c r="O232" i="4"/>
  <c r="O233" i="4"/>
  <c r="O234" i="4"/>
  <c r="O235" i="4"/>
  <c r="O236" i="4"/>
  <c r="O237" i="4"/>
  <c r="O238" i="4"/>
  <c r="O239" i="4"/>
  <c r="O240" i="4"/>
  <c r="O241" i="4"/>
  <c r="O242" i="4"/>
  <c r="O243" i="4"/>
  <c r="O244" i="4"/>
  <c r="O245" i="4"/>
  <c r="O246" i="4"/>
  <c r="O247" i="4"/>
  <c r="O248" i="4"/>
  <c r="O249" i="4"/>
  <c r="O250" i="4"/>
  <c r="O251" i="4"/>
  <c r="O252" i="4"/>
  <c r="O253" i="4"/>
  <c r="O254" i="4"/>
  <c r="O255" i="4"/>
  <c r="O256" i="4"/>
  <c r="O257" i="4"/>
  <c r="O258" i="4"/>
  <c r="O259" i="4"/>
  <c r="O260" i="4"/>
  <c r="O261" i="4"/>
  <c r="O262" i="4"/>
  <c r="O263" i="4"/>
  <c r="O264" i="4"/>
  <c r="P3" i="4"/>
  <c r="P4" i="4"/>
  <c r="P5" i="4"/>
  <c r="P6" i="4"/>
  <c r="P7" i="4"/>
  <c r="P8" i="4"/>
  <c r="P9" i="4"/>
  <c r="P10"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P97" i="4"/>
  <c r="P98" i="4"/>
  <c r="P99" i="4"/>
  <c r="P100" i="4"/>
  <c r="P101" i="4"/>
  <c r="P102" i="4"/>
  <c r="P103" i="4"/>
  <c r="P104" i="4"/>
  <c r="P105" i="4"/>
  <c r="P106" i="4"/>
  <c r="P107" i="4"/>
  <c r="P108" i="4"/>
  <c r="P109" i="4"/>
  <c r="P110" i="4"/>
  <c r="P111" i="4"/>
  <c r="P112" i="4"/>
  <c r="P113" i="4"/>
  <c r="P114" i="4"/>
  <c r="P115" i="4"/>
  <c r="P116" i="4"/>
  <c r="P117" i="4"/>
  <c r="P118" i="4"/>
  <c r="P119" i="4"/>
  <c r="P120" i="4"/>
  <c r="P121" i="4"/>
  <c r="P122" i="4"/>
  <c r="P123" i="4"/>
  <c r="P124" i="4"/>
  <c r="P125" i="4"/>
  <c r="P126" i="4"/>
  <c r="P127" i="4"/>
  <c r="P128" i="4"/>
  <c r="P129" i="4"/>
  <c r="P130" i="4"/>
  <c r="P131" i="4"/>
  <c r="P132" i="4"/>
  <c r="P133" i="4"/>
  <c r="P134" i="4"/>
  <c r="P135" i="4"/>
  <c r="P136" i="4"/>
  <c r="P137" i="4"/>
  <c r="P138" i="4"/>
  <c r="P139" i="4"/>
  <c r="P140" i="4"/>
  <c r="P141" i="4"/>
  <c r="P142"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180" i="4"/>
  <c r="P181" i="4"/>
  <c r="P182" i="4"/>
  <c r="P183" i="4"/>
  <c r="P184" i="4"/>
  <c r="P185" i="4"/>
  <c r="P186" i="4"/>
  <c r="P187" i="4"/>
  <c r="P188" i="4"/>
  <c r="P189" i="4"/>
  <c r="P190" i="4"/>
  <c r="P191" i="4"/>
  <c r="P192" i="4"/>
  <c r="P193" i="4"/>
  <c r="P194" i="4"/>
  <c r="P195" i="4"/>
  <c r="P196" i="4"/>
  <c r="P197" i="4"/>
  <c r="P198" i="4"/>
  <c r="P199" i="4"/>
  <c r="P200" i="4"/>
  <c r="P201" i="4"/>
  <c r="P202" i="4"/>
  <c r="P203" i="4"/>
  <c r="P204" i="4"/>
  <c r="P205" i="4"/>
  <c r="P206" i="4"/>
  <c r="P207" i="4"/>
  <c r="P208" i="4"/>
  <c r="P209" i="4"/>
  <c r="P210" i="4"/>
  <c r="P211" i="4"/>
  <c r="P212" i="4"/>
  <c r="P213" i="4"/>
  <c r="P214" i="4"/>
  <c r="P215" i="4"/>
  <c r="P216" i="4"/>
  <c r="P217" i="4"/>
  <c r="P218" i="4"/>
  <c r="P219" i="4"/>
  <c r="P220" i="4"/>
  <c r="P221" i="4"/>
  <c r="P222" i="4"/>
  <c r="P223" i="4"/>
  <c r="P224" i="4"/>
  <c r="P225" i="4"/>
  <c r="P226" i="4"/>
  <c r="P227" i="4"/>
  <c r="P228" i="4"/>
  <c r="P229" i="4"/>
  <c r="P230" i="4"/>
  <c r="P231" i="4"/>
  <c r="P232" i="4"/>
  <c r="P233" i="4"/>
  <c r="P234" i="4"/>
  <c r="P235" i="4"/>
  <c r="P236" i="4"/>
  <c r="P237" i="4"/>
  <c r="P238" i="4"/>
  <c r="P239" i="4"/>
  <c r="P240" i="4"/>
  <c r="P241" i="4"/>
  <c r="P242" i="4"/>
  <c r="P243" i="4"/>
  <c r="P244" i="4"/>
  <c r="P245" i="4"/>
  <c r="P246" i="4"/>
  <c r="P247" i="4"/>
  <c r="P248" i="4"/>
  <c r="P249" i="4"/>
  <c r="P250" i="4"/>
  <c r="P251" i="4"/>
  <c r="P252" i="4"/>
  <c r="P253" i="4"/>
  <c r="P254" i="4"/>
  <c r="P255" i="4"/>
  <c r="P256" i="4"/>
  <c r="P257" i="4"/>
  <c r="P258" i="4"/>
  <c r="P259" i="4"/>
  <c r="P260" i="4"/>
  <c r="P261" i="4"/>
  <c r="P262" i="4"/>
  <c r="P263" i="4"/>
  <c r="P264" i="4"/>
  <c r="Q4" i="4"/>
  <c r="Q5" i="4"/>
  <c r="Q6" i="4"/>
  <c r="Q7" i="4"/>
  <c r="Q8" i="4"/>
  <c r="Q9" i="4"/>
  <c r="Q10" i="4"/>
  <c r="Q11" i="4"/>
  <c r="Q12" i="4"/>
  <c r="Q13" i="4"/>
  <c r="Q14" i="4"/>
  <c r="Q15" i="4"/>
  <c r="Q16" i="4"/>
  <c r="Q17" i="4"/>
  <c r="Q18" i="4"/>
  <c r="Q19" i="4"/>
  <c r="Q20" i="4"/>
  <c r="Q21" i="4"/>
  <c r="Q22" i="4"/>
  <c r="Q23" i="4"/>
  <c r="Q24" i="4"/>
  <c r="Q25" i="4"/>
  <c r="Q26" i="4"/>
  <c r="Q27" i="4"/>
  <c r="Q28" i="4"/>
  <c r="Q29" i="4"/>
  <c r="Q30" i="4"/>
  <c r="Q31" i="4"/>
  <c r="Q32" i="4"/>
  <c r="Q33" i="4"/>
  <c r="Q34" i="4"/>
  <c r="Q35" i="4"/>
  <c r="Q36" i="4"/>
  <c r="Q37" i="4"/>
  <c r="Q38" i="4"/>
  <c r="Q39" i="4"/>
  <c r="Q40" i="4"/>
  <c r="Q41" i="4"/>
  <c r="Q42" i="4"/>
  <c r="Q43" i="4"/>
  <c r="Q44" i="4"/>
  <c r="Q45" i="4"/>
  <c r="Q46" i="4"/>
  <c r="Q47" i="4"/>
  <c r="Q48" i="4"/>
  <c r="Q49" i="4"/>
  <c r="Q50" i="4"/>
  <c r="Q51" i="4"/>
  <c r="Q52" i="4"/>
  <c r="Q53" i="4"/>
  <c r="Q54" i="4"/>
  <c r="Q55" i="4"/>
  <c r="Q56" i="4"/>
  <c r="Q57" i="4"/>
  <c r="Q58" i="4"/>
  <c r="Q59" i="4"/>
  <c r="Q60" i="4"/>
  <c r="Q61" i="4"/>
  <c r="Q62" i="4"/>
  <c r="Q63" i="4"/>
  <c r="Q64" i="4"/>
  <c r="Q65" i="4"/>
  <c r="Q66" i="4"/>
  <c r="Q67" i="4"/>
  <c r="Q68" i="4"/>
  <c r="Q69" i="4"/>
  <c r="Q70" i="4"/>
  <c r="Q71" i="4"/>
  <c r="Q72" i="4"/>
  <c r="Q73" i="4"/>
  <c r="Q74" i="4"/>
  <c r="Q75" i="4"/>
  <c r="Q76" i="4"/>
  <c r="Q77" i="4"/>
  <c r="Q78" i="4"/>
  <c r="Q79" i="4"/>
  <c r="Q80" i="4"/>
  <c r="Q81" i="4"/>
  <c r="Q82" i="4"/>
  <c r="Q83" i="4"/>
  <c r="Q84" i="4"/>
  <c r="Q85" i="4"/>
  <c r="Q86" i="4"/>
  <c r="Q87" i="4"/>
  <c r="Q88" i="4"/>
  <c r="Q89" i="4"/>
  <c r="Q90" i="4"/>
  <c r="Q91" i="4"/>
  <c r="Q92" i="4"/>
  <c r="Q93" i="4"/>
  <c r="Q94" i="4"/>
  <c r="Q95" i="4"/>
  <c r="Q96" i="4"/>
  <c r="Q97" i="4"/>
  <c r="Q98" i="4"/>
  <c r="Q99" i="4"/>
  <c r="Q100" i="4"/>
  <c r="Q101" i="4"/>
  <c r="Q102" i="4"/>
  <c r="Q103" i="4"/>
  <c r="Q104" i="4"/>
  <c r="Q105" i="4"/>
  <c r="Q106" i="4"/>
  <c r="Q107" i="4"/>
  <c r="Q108" i="4"/>
  <c r="Q109" i="4"/>
  <c r="Q110" i="4"/>
  <c r="Q111" i="4"/>
  <c r="Q112" i="4"/>
  <c r="Q113" i="4"/>
  <c r="Q114" i="4"/>
  <c r="Q115" i="4"/>
  <c r="Q116" i="4"/>
  <c r="Q117" i="4"/>
  <c r="Q118" i="4"/>
  <c r="Q119" i="4"/>
  <c r="Q120" i="4"/>
  <c r="Q121" i="4"/>
  <c r="Q122" i="4"/>
  <c r="Q123" i="4"/>
  <c r="Q124" i="4"/>
  <c r="Q125" i="4"/>
  <c r="Q126" i="4"/>
  <c r="Q127" i="4"/>
  <c r="Q128" i="4"/>
  <c r="Q129" i="4"/>
  <c r="Q130" i="4"/>
  <c r="Q131" i="4"/>
  <c r="Q132" i="4"/>
  <c r="Q133" i="4"/>
  <c r="Q134" i="4"/>
  <c r="Q135" i="4"/>
  <c r="Q136" i="4"/>
  <c r="Q137" i="4"/>
  <c r="Q138" i="4"/>
  <c r="Q139" i="4"/>
  <c r="Q140" i="4"/>
  <c r="Q141" i="4"/>
  <c r="Q142" i="4"/>
  <c r="Q143" i="4"/>
  <c r="Q144" i="4"/>
  <c r="Q145" i="4"/>
  <c r="Q146" i="4"/>
  <c r="Q147" i="4"/>
  <c r="Q148" i="4"/>
  <c r="Q149" i="4"/>
  <c r="Q150" i="4"/>
  <c r="Q151" i="4"/>
  <c r="Q152" i="4"/>
  <c r="Q153" i="4"/>
  <c r="Q154" i="4"/>
  <c r="Q155" i="4"/>
  <c r="Q156" i="4"/>
  <c r="Q157" i="4"/>
  <c r="Q158" i="4"/>
  <c r="Q159" i="4"/>
  <c r="Q160" i="4"/>
  <c r="Q161" i="4"/>
  <c r="Q162" i="4"/>
  <c r="Q163" i="4"/>
  <c r="Q164" i="4"/>
  <c r="Q165" i="4"/>
  <c r="Q166" i="4"/>
  <c r="Q167" i="4"/>
  <c r="Q168" i="4"/>
  <c r="Q169" i="4"/>
  <c r="Q170" i="4"/>
  <c r="Q171" i="4"/>
  <c r="Q172" i="4"/>
  <c r="Q173" i="4"/>
  <c r="Q174" i="4"/>
  <c r="Q175" i="4"/>
  <c r="Q176" i="4"/>
  <c r="Q177" i="4"/>
  <c r="Q178" i="4"/>
  <c r="Q179" i="4"/>
  <c r="Q180" i="4"/>
  <c r="Q181" i="4"/>
  <c r="Q182" i="4"/>
  <c r="Q183" i="4"/>
  <c r="Q184" i="4"/>
  <c r="Q185" i="4"/>
  <c r="Q186" i="4"/>
  <c r="Q187" i="4"/>
  <c r="Q188" i="4"/>
  <c r="Q189" i="4"/>
  <c r="Q190" i="4"/>
  <c r="Q191" i="4"/>
  <c r="Q192" i="4"/>
  <c r="Q193" i="4"/>
  <c r="Q194" i="4"/>
  <c r="Q195" i="4"/>
  <c r="Q196" i="4"/>
  <c r="Q197" i="4"/>
  <c r="Q198" i="4"/>
  <c r="Q199" i="4"/>
  <c r="Q200" i="4"/>
  <c r="Q201" i="4"/>
  <c r="Q202" i="4"/>
  <c r="Q203" i="4"/>
  <c r="Q204" i="4"/>
  <c r="Q205" i="4"/>
  <c r="Q206" i="4"/>
  <c r="Q207" i="4"/>
  <c r="Q208" i="4"/>
  <c r="Q209" i="4"/>
  <c r="Q210" i="4"/>
  <c r="Q211" i="4"/>
  <c r="Q212" i="4"/>
  <c r="Q213" i="4"/>
  <c r="Q214" i="4"/>
  <c r="Q215" i="4"/>
  <c r="Q216" i="4"/>
  <c r="Q217" i="4"/>
  <c r="Q218" i="4"/>
  <c r="Q219" i="4"/>
  <c r="Q220" i="4"/>
  <c r="Q221" i="4"/>
  <c r="Q222" i="4"/>
  <c r="Q223" i="4"/>
  <c r="Q224" i="4"/>
  <c r="Q225" i="4"/>
  <c r="Q226" i="4"/>
  <c r="Q227" i="4"/>
  <c r="Q228" i="4"/>
  <c r="Q229" i="4"/>
  <c r="Q230" i="4"/>
  <c r="Q231" i="4"/>
  <c r="Q232" i="4"/>
  <c r="Q233" i="4"/>
  <c r="Q234" i="4"/>
  <c r="Q235" i="4"/>
  <c r="Q236" i="4"/>
  <c r="Q237" i="4"/>
  <c r="Q238" i="4"/>
  <c r="Q239" i="4"/>
  <c r="Q240" i="4"/>
  <c r="Q241" i="4"/>
  <c r="Q242" i="4"/>
  <c r="Q243" i="4"/>
  <c r="Q244" i="4"/>
  <c r="Q245" i="4"/>
  <c r="Q246" i="4"/>
  <c r="Q247" i="4"/>
  <c r="Q248" i="4"/>
  <c r="Q249" i="4"/>
  <c r="Q250" i="4"/>
  <c r="Q251" i="4"/>
  <c r="Q252" i="4"/>
  <c r="Q253" i="4"/>
  <c r="Q254" i="4"/>
  <c r="Q255" i="4"/>
  <c r="Q256" i="4"/>
  <c r="Q257" i="4"/>
  <c r="Q258" i="4"/>
  <c r="Q259" i="4"/>
  <c r="Q260" i="4"/>
  <c r="Q261" i="4"/>
  <c r="Q262" i="4"/>
  <c r="Q263" i="4"/>
  <c r="Q264" i="4"/>
  <c r="R266" i="4"/>
  <c r="S266" i="4"/>
  <c r="M266" i="4"/>
  <c r="G490" i="4"/>
  <c r="F490" i="4"/>
  <c r="G489" i="4"/>
  <c r="F489" i="4"/>
  <c r="G488" i="4"/>
  <c r="F488" i="4"/>
  <c r="G487" i="4"/>
  <c r="F487" i="4"/>
  <c r="G486" i="4"/>
  <c r="F486" i="4"/>
  <c r="G485" i="4"/>
  <c r="F485" i="4"/>
  <c r="G484" i="4"/>
  <c r="F484" i="4"/>
  <c r="G483" i="4"/>
  <c r="F483" i="4"/>
  <c r="G482" i="4"/>
  <c r="F482" i="4"/>
  <c r="G481" i="4"/>
  <c r="F481" i="4"/>
  <c r="G480" i="4"/>
  <c r="F480" i="4"/>
  <c r="G479" i="4"/>
  <c r="F479" i="4"/>
  <c r="G478" i="4"/>
  <c r="F478" i="4"/>
  <c r="G477" i="4"/>
  <c r="F477" i="4"/>
  <c r="G476" i="4"/>
  <c r="F476" i="4"/>
  <c r="G475" i="4"/>
  <c r="F475" i="4"/>
  <c r="G474" i="4"/>
  <c r="F474" i="4"/>
  <c r="G473" i="4"/>
  <c r="F473" i="4"/>
  <c r="G472" i="4"/>
  <c r="F472" i="4"/>
  <c r="G471" i="4"/>
  <c r="F471" i="4"/>
  <c r="G470" i="4"/>
  <c r="F470" i="4"/>
  <c r="G469" i="4"/>
  <c r="F469" i="4"/>
  <c r="G468" i="4"/>
  <c r="F468" i="4"/>
  <c r="G467" i="4"/>
  <c r="F467" i="4"/>
  <c r="G466" i="4"/>
  <c r="F466" i="4"/>
  <c r="G465" i="4"/>
  <c r="F465" i="4"/>
  <c r="G464" i="4"/>
  <c r="F464" i="4"/>
  <c r="G463" i="4"/>
  <c r="F463" i="4"/>
  <c r="G462" i="4"/>
  <c r="F462" i="4"/>
  <c r="G461" i="4"/>
  <c r="F461" i="4"/>
  <c r="G460" i="4"/>
  <c r="F460" i="4"/>
  <c r="G459" i="4"/>
  <c r="F459" i="4"/>
  <c r="G458" i="4"/>
  <c r="F458" i="4"/>
  <c r="G457" i="4"/>
  <c r="F457" i="4"/>
  <c r="G456" i="4"/>
  <c r="F456" i="4"/>
  <c r="G455" i="4"/>
  <c r="F455" i="4"/>
  <c r="G454" i="4"/>
  <c r="F454" i="4"/>
  <c r="G453" i="4"/>
  <c r="F453" i="4"/>
  <c r="G452" i="4"/>
  <c r="F452" i="4"/>
  <c r="G451" i="4"/>
  <c r="F451" i="4"/>
  <c r="G450" i="4"/>
  <c r="F450" i="4"/>
  <c r="G449" i="4"/>
  <c r="F449" i="4"/>
  <c r="G448" i="4"/>
  <c r="F448" i="4"/>
  <c r="G447" i="4"/>
  <c r="F447" i="4"/>
  <c r="G446" i="4"/>
  <c r="F446" i="4"/>
  <c r="G445" i="4"/>
  <c r="F445" i="4"/>
  <c r="G444" i="4"/>
  <c r="F444" i="4"/>
  <c r="G443" i="4"/>
  <c r="F443" i="4"/>
  <c r="G442" i="4"/>
  <c r="F442" i="4"/>
  <c r="G441" i="4"/>
  <c r="F441" i="4"/>
  <c r="G440" i="4"/>
  <c r="F440" i="4"/>
  <c r="G439" i="4"/>
  <c r="F439" i="4"/>
  <c r="G438" i="4"/>
  <c r="F438" i="4"/>
  <c r="G437" i="4"/>
  <c r="F437" i="4"/>
  <c r="G436" i="4"/>
  <c r="F436" i="4"/>
  <c r="G435" i="4"/>
  <c r="F435" i="4"/>
  <c r="G434" i="4"/>
  <c r="F434" i="4"/>
  <c r="G433" i="4"/>
  <c r="F433" i="4"/>
  <c r="G432" i="4"/>
  <c r="F432" i="4"/>
  <c r="G431" i="4"/>
  <c r="F431" i="4"/>
  <c r="G430" i="4"/>
  <c r="F430" i="4"/>
  <c r="G429" i="4"/>
  <c r="F429" i="4"/>
  <c r="G428" i="4"/>
  <c r="F428" i="4"/>
  <c r="G427" i="4"/>
  <c r="F427" i="4"/>
  <c r="G426" i="4"/>
  <c r="F426" i="4"/>
  <c r="G425" i="4"/>
  <c r="F425" i="4"/>
  <c r="G424" i="4"/>
  <c r="F424" i="4"/>
  <c r="G423" i="4"/>
  <c r="F423" i="4"/>
  <c r="G422" i="4"/>
  <c r="F422" i="4"/>
  <c r="G421" i="4"/>
  <c r="F421" i="4"/>
  <c r="G420" i="4"/>
  <c r="F420" i="4"/>
  <c r="G419" i="4"/>
  <c r="F419" i="4"/>
  <c r="G418" i="4"/>
  <c r="F418" i="4"/>
  <c r="G417" i="4"/>
  <c r="F417" i="4"/>
  <c r="G416" i="4"/>
  <c r="F416" i="4"/>
  <c r="G415" i="4"/>
  <c r="F415" i="4"/>
  <c r="G414" i="4"/>
  <c r="F414" i="4"/>
  <c r="G413" i="4"/>
  <c r="F413" i="4"/>
  <c r="G412" i="4"/>
  <c r="F412" i="4"/>
  <c r="G411" i="4"/>
  <c r="F411" i="4"/>
  <c r="G410" i="4"/>
  <c r="F410" i="4"/>
  <c r="G409" i="4"/>
  <c r="F409" i="4"/>
  <c r="G408" i="4"/>
  <c r="F408" i="4"/>
  <c r="G407" i="4"/>
  <c r="F407" i="4"/>
  <c r="G406" i="4"/>
  <c r="F406" i="4"/>
  <c r="G405" i="4"/>
  <c r="F405" i="4"/>
  <c r="G404" i="4"/>
  <c r="F404" i="4"/>
  <c r="G403" i="4"/>
  <c r="F403" i="4"/>
  <c r="G402" i="4"/>
  <c r="F402" i="4"/>
  <c r="G401" i="4"/>
  <c r="F401" i="4"/>
  <c r="G400" i="4"/>
  <c r="F400" i="4"/>
  <c r="G399" i="4"/>
  <c r="F399" i="4"/>
  <c r="G398" i="4"/>
  <c r="F398" i="4"/>
  <c r="G397" i="4"/>
  <c r="F397" i="4"/>
  <c r="G396" i="4"/>
  <c r="F396" i="4"/>
  <c r="G395" i="4"/>
  <c r="F395" i="4"/>
  <c r="G394" i="4"/>
  <c r="F394" i="4"/>
  <c r="G393" i="4"/>
  <c r="F393" i="4"/>
  <c r="G392" i="4"/>
  <c r="F392" i="4"/>
  <c r="G391" i="4"/>
  <c r="F391" i="4"/>
  <c r="G390" i="4"/>
  <c r="F390" i="4"/>
  <c r="G389" i="4"/>
  <c r="F389" i="4"/>
  <c r="G388" i="4"/>
  <c r="F388" i="4"/>
  <c r="G387" i="4"/>
  <c r="F387" i="4"/>
  <c r="G386" i="4"/>
  <c r="F386" i="4"/>
  <c r="G385" i="4"/>
  <c r="F385" i="4"/>
  <c r="G384" i="4"/>
  <c r="F384" i="4"/>
  <c r="G383" i="4"/>
  <c r="F383" i="4"/>
  <c r="G382" i="4"/>
  <c r="F382" i="4"/>
  <c r="G381" i="4"/>
  <c r="F381" i="4"/>
  <c r="G380" i="4"/>
  <c r="F380" i="4"/>
  <c r="G379" i="4"/>
  <c r="F379" i="4"/>
  <c r="G378" i="4"/>
  <c r="F378" i="4"/>
  <c r="G377" i="4"/>
  <c r="F377" i="4"/>
  <c r="G376" i="4"/>
  <c r="F376" i="4"/>
  <c r="G375" i="4"/>
  <c r="F375" i="4"/>
  <c r="G374" i="4"/>
  <c r="F374" i="4"/>
  <c r="G373" i="4"/>
  <c r="F373" i="4"/>
  <c r="G372" i="4"/>
  <c r="F372" i="4"/>
  <c r="G371" i="4"/>
  <c r="F371" i="4"/>
  <c r="G370" i="4"/>
  <c r="F370" i="4"/>
  <c r="G369" i="4"/>
  <c r="F369" i="4"/>
  <c r="G368" i="4"/>
  <c r="F368" i="4"/>
  <c r="G367" i="4"/>
  <c r="F367" i="4"/>
  <c r="G366" i="4"/>
  <c r="F366" i="4"/>
  <c r="G365" i="4"/>
  <c r="F365" i="4"/>
  <c r="G364" i="4"/>
  <c r="F364" i="4"/>
  <c r="G363" i="4"/>
  <c r="F363" i="4"/>
  <c r="G362" i="4"/>
  <c r="F362" i="4"/>
  <c r="G361" i="4"/>
  <c r="F361" i="4"/>
  <c r="G360" i="4"/>
  <c r="F360" i="4"/>
  <c r="G359" i="4"/>
  <c r="F359" i="4"/>
  <c r="G358" i="4"/>
  <c r="F358" i="4"/>
  <c r="G357" i="4"/>
  <c r="F357" i="4"/>
  <c r="G356" i="4"/>
  <c r="F356" i="4"/>
  <c r="G355" i="4"/>
  <c r="F355" i="4"/>
  <c r="G354" i="4"/>
  <c r="F354" i="4"/>
  <c r="G353" i="4"/>
  <c r="F353" i="4"/>
  <c r="G352" i="4"/>
  <c r="F352" i="4"/>
  <c r="G351" i="4"/>
  <c r="F351" i="4"/>
  <c r="G350" i="4"/>
  <c r="F350" i="4"/>
  <c r="G349" i="4"/>
  <c r="F349" i="4"/>
  <c r="G348" i="4"/>
  <c r="F348" i="4"/>
  <c r="G347" i="4"/>
  <c r="F347" i="4"/>
  <c r="G346" i="4"/>
  <c r="F346" i="4"/>
  <c r="G345" i="4"/>
  <c r="F345" i="4"/>
  <c r="G344" i="4"/>
  <c r="F344" i="4"/>
  <c r="G343" i="4"/>
  <c r="F343" i="4"/>
  <c r="G342" i="4"/>
  <c r="F342" i="4"/>
  <c r="G341" i="4"/>
  <c r="F341" i="4"/>
  <c r="G340" i="4"/>
  <c r="F340" i="4"/>
  <c r="G339" i="4"/>
  <c r="F339" i="4"/>
  <c r="G338" i="4"/>
  <c r="F338" i="4"/>
  <c r="G337" i="4"/>
  <c r="F337" i="4"/>
  <c r="G336" i="4"/>
  <c r="F336" i="4"/>
  <c r="G335" i="4"/>
  <c r="F335" i="4"/>
  <c r="G334" i="4"/>
  <c r="F334" i="4"/>
  <c r="G333" i="4"/>
  <c r="F333" i="4"/>
  <c r="G332" i="4"/>
  <c r="F332" i="4"/>
  <c r="G331" i="4"/>
  <c r="F331" i="4"/>
  <c r="G330" i="4"/>
  <c r="F330" i="4"/>
  <c r="G329" i="4"/>
  <c r="F329" i="4"/>
  <c r="G328" i="4"/>
  <c r="F328" i="4"/>
  <c r="G327" i="4"/>
  <c r="F327" i="4"/>
  <c r="G326" i="4"/>
  <c r="F326" i="4"/>
  <c r="G325" i="4"/>
  <c r="F325" i="4"/>
  <c r="G324" i="4"/>
  <c r="F324" i="4"/>
  <c r="G323" i="4"/>
  <c r="F323" i="4"/>
  <c r="G322" i="4"/>
  <c r="F322" i="4"/>
  <c r="G321" i="4"/>
  <c r="F321" i="4"/>
  <c r="G320" i="4"/>
  <c r="F320" i="4"/>
  <c r="G319" i="4"/>
  <c r="F319" i="4"/>
  <c r="G318" i="4"/>
  <c r="F318" i="4"/>
  <c r="G317" i="4"/>
  <c r="F317" i="4"/>
  <c r="G316" i="4"/>
  <c r="F316" i="4"/>
  <c r="G315" i="4"/>
  <c r="F315" i="4"/>
  <c r="G314" i="4"/>
  <c r="F314" i="4"/>
  <c r="G313" i="4"/>
  <c r="F313" i="4"/>
  <c r="G312" i="4"/>
  <c r="F312" i="4"/>
  <c r="G311" i="4"/>
  <c r="F311" i="4"/>
  <c r="G310" i="4"/>
  <c r="F310" i="4"/>
  <c r="G309" i="4"/>
  <c r="F309" i="4"/>
  <c r="G308" i="4"/>
  <c r="F308" i="4"/>
  <c r="G307" i="4"/>
  <c r="F307" i="4"/>
  <c r="G306" i="4"/>
  <c r="F306" i="4"/>
  <c r="G305" i="4"/>
  <c r="F305" i="4"/>
  <c r="G304" i="4"/>
  <c r="F304" i="4"/>
  <c r="G303" i="4"/>
  <c r="F303" i="4"/>
  <c r="G302" i="4"/>
  <c r="F302" i="4"/>
  <c r="G301" i="4"/>
  <c r="F301" i="4"/>
  <c r="G300" i="4"/>
  <c r="F300" i="4"/>
  <c r="G299" i="4"/>
  <c r="F299" i="4"/>
  <c r="G298" i="4"/>
  <c r="F298" i="4"/>
  <c r="G297" i="4"/>
  <c r="F297" i="4"/>
  <c r="G296" i="4"/>
  <c r="F296" i="4"/>
  <c r="G295" i="4"/>
  <c r="F295" i="4"/>
  <c r="G294" i="4"/>
  <c r="F294" i="4"/>
  <c r="G293" i="4"/>
  <c r="F293" i="4"/>
  <c r="G292" i="4"/>
  <c r="F292" i="4"/>
  <c r="G291" i="4"/>
  <c r="F291" i="4"/>
  <c r="G290" i="4"/>
  <c r="F290" i="4"/>
  <c r="G289" i="4"/>
  <c r="F289" i="4"/>
  <c r="G288" i="4"/>
  <c r="F288" i="4"/>
  <c r="G287" i="4"/>
  <c r="F287" i="4"/>
  <c r="G286" i="4"/>
  <c r="F286" i="4"/>
  <c r="G285" i="4"/>
  <c r="F285" i="4"/>
  <c r="G284" i="4"/>
  <c r="F284" i="4"/>
  <c r="G283" i="4"/>
  <c r="F283" i="4"/>
  <c r="M282" i="4"/>
  <c r="G282" i="4"/>
  <c r="F282" i="4"/>
  <c r="M281" i="4"/>
  <c r="G281" i="4"/>
  <c r="F281" i="4"/>
  <c r="G280" i="4"/>
  <c r="F280" i="4"/>
  <c r="G279" i="4"/>
  <c r="F279" i="4"/>
  <c r="G278" i="4"/>
  <c r="F278" i="4"/>
  <c r="G277" i="4"/>
  <c r="F277" i="4"/>
  <c r="G276" i="4"/>
  <c r="F276" i="4"/>
  <c r="M276" i="4" s="1"/>
  <c r="M279" i="4" s="1"/>
  <c r="M275" i="4"/>
  <c r="M278" i="4" s="1"/>
  <c r="M284" i="4" l="1" a="1"/>
  <c r="M284" i="4" s="1"/>
  <c r="M286" i="4" s="1"/>
  <c r="M288" i="4" s="1"/>
  <c r="M290" i="4" s="1"/>
  <c r="P266" i="4"/>
  <c r="O266" i="4"/>
  <c r="N266" i="4"/>
  <c r="Q266" i="4"/>
  <c r="H8" i="3" l="1"/>
  <c r="C217" i="3"/>
  <c r="B217" i="3"/>
  <c r="C216" i="3"/>
  <c r="B216" i="3"/>
  <c r="C215" i="3"/>
  <c r="B215" i="3"/>
  <c r="C214" i="3"/>
  <c r="B214" i="3"/>
  <c r="C213" i="3"/>
  <c r="B213" i="3"/>
  <c r="C212" i="3"/>
  <c r="B212" i="3"/>
  <c r="C211" i="3"/>
  <c r="B211" i="3"/>
  <c r="C210" i="3"/>
  <c r="B210" i="3"/>
  <c r="C209" i="3"/>
  <c r="B209" i="3"/>
  <c r="C208" i="3"/>
  <c r="B208" i="3"/>
  <c r="C207" i="3"/>
  <c r="B207" i="3"/>
  <c r="C206" i="3"/>
  <c r="B206" i="3"/>
  <c r="C205" i="3"/>
  <c r="B205" i="3"/>
  <c r="C204" i="3"/>
  <c r="B204" i="3"/>
  <c r="C203" i="3"/>
  <c r="B203" i="3"/>
  <c r="C202" i="3"/>
  <c r="B202" i="3"/>
  <c r="C201" i="3"/>
  <c r="B201" i="3"/>
  <c r="C200" i="3"/>
  <c r="B200" i="3"/>
  <c r="C199" i="3"/>
  <c r="B199" i="3"/>
  <c r="C198" i="3"/>
  <c r="B198" i="3"/>
  <c r="C197" i="3"/>
  <c r="B197" i="3"/>
  <c r="C196" i="3"/>
  <c r="B196" i="3"/>
  <c r="C195" i="3"/>
  <c r="B195" i="3"/>
  <c r="C194" i="3"/>
  <c r="B194" i="3"/>
  <c r="C193" i="3"/>
  <c r="B193" i="3"/>
  <c r="C192" i="3"/>
  <c r="B192" i="3"/>
  <c r="C191" i="3"/>
  <c r="B191" i="3"/>
  <c r="C190" i="3"/>
  <c r="B190" i="3"/>
  <c r="C189" i="3"/>
  <c r="B189" i="3"/>
  <c r="C188" i="3"/>
  <c r="B188" i="3"/>
  <c r="C187" i="3"/>
  <c r="B187" i="3"/>
  <c r="C186" i="3"/>
  <c r="B186" i="3"/>
  <c r="C185" i="3"/>
  <c r="B185" i="3"/>
  <c r="C184" i="3"/>
  <c r="B184" i="3"/>
  <c r="C183" i="3"/>
  <c r="B183" i="3"/>
  <c r="C182" i="3"/>
  <c r="B182" i="3"/>
  <c r="C181" i="3"/>
  <c r="B181" i="3"/>
  <c r="C180" i="3"/>
  <c r="B180" i="3"/>
  <c r="C179" i="3"/>
  <c r="B179" i="3"/>
  <c r="C178" i="3"/>
  <c r="B178" i="3"/>
  <c r="C177" i="3"/>
  <c r="B177" i="3"/>
  <c r="C176" i="3"/>
  <c r="B176" i="3"/>
  <c r="C175" i="3"/>
  <c r="B175" i="3"/>
  <c r="C174" i="3"/>
  <c r="B174" i="3"/>
  <c r="C173" i="3"/>
  <c r="B173" i="3"/>
  <c r="C172" i="3"/>
  <c r="B172" i="3"/>
  <c r="C171" i="3"/>
  <c r="B171" i="3"/>
  <c r="C170" i="3"/>
  <c r="B170" i="3"/>
  <c r="C169" i="3"/>
  <c r="B169" i="3"/>
  <c r="C168" i="3"/>
  <c r="B168" i="3"/>
  <c r="C167" i="3"/>
  <c r="B167" i="3"/>
  <c r="C166" i="3"/>
  <c r="B166" i="3"/>
  <c r="C165" i="3"/>
  <c r="B165" i="3"/>
  <c r="C164" i="3"/>
  <c r="B164" i="3"/>
  <c r="C163" i="3"/>
  <c r="B163" i="3"/>
  <c r="C162" i="3"/>
  <c r="B162" i="3"/>
  <c r="C161" i="3"/>
  <c r="B161" i="3"/>
  <c r="C160" i="3"/>
  <c r="B160" i="3"/>
  <c r="C159" i="3"/>
  <c r="B159" i="3"/>
  <c r="C158" i="3"/>
  <c r="B158" i="3"/>
  <c r="C157" i="3"/>
  <c r="B157" i="3"/>
  <c r="C156" i="3"/>
  <c r="B156" i="3"/>
  <c r="C155" i="3"/>
  <c r="B155" i="3"/>
  <c r="C154" i="3"/>
  <c r="B154" i="3"/>
  <c r="C153" i="3"/>
  <c r="B153" i="3"/>
  <c r="C152" i="3"/>
  <c r="B152" i="3"/>
  <c r="C151" i="3"/>
  <c r="B151" i="3"/>
  <c r="C150" i="3"/>
  <c r="B150" i="3"/>
  <c r="C149" i="3"/>
  <c r="B149" i="3"/>
  <c r="C148" i="3"/>
  <c r="B148" i="3"/>
  <c r="C147" i="3"/>
  <c r="B147" i="3"/>
  <c r="C146" i="3"/>
  <c r="B146" i="3"/>
  <c r="C145" i="3"/>
  <c r="B145" i="3"/>
  <c r="C144" i="3"/>
  <c r="B144" i="3"/>
  <c r="C143" i="3"/>
  <c r="B143" i="3"/>
  <c r="C142" i="3"/>
  <c r="B142" i="3"/>
  <c r="C141" i="3"/>
  <c r="B141" i="3"/>
  <c r="C140" i="3"/>
  <c r="B140" i="3"/>
  <c r="C139" i="3"/>
  <c r="B139" i="3"/>
  <c r="C138" i="3"/>
  <c r="B138" i="3"/>
  <c r="C137" i="3"/>
  <c r="B137" i="3"/>
  <c r="C136" i="3"/>
  <c r="B136" i="3"/>
  <c r="C135" i="3"/>
  <c r="B135" i="3"/>
  <c r="C134" i="3"/>
  <c r="B134" i="3"/>
  <c r="C133" i="3"/>
  <c r="B133" i="3"/>
  <c r="C132" i="3"/>
  <c r="B132" i="3"/>
  <c r="C131" i="3"/>
  <c r="B131" i="3"/>
  <c r="C130" i="3"/>
  <c r="B130" i="3"/>
  <c r="C129" i="3"/>
  <c r="B129" i="3"/>
  <c r="C128" i="3"/>
  <c r="B128" i="3"/>
  <c r="C127" i="3"/>
  <c r="B127" i="3"/>
  <c r="C126" i="3"/>
  <c r="B126" i="3"/>
  <c r="C125" i="3"/>
  <c r="B125" i="3"/>
  <c r="C124" i="3"/>
  <c r="B124" i="3"/>
  <c r="C123" i="3"/>
  <c r="B123" i="3"/>
  <c r="C122" i="3"/>
  <c r="B122" i="3"/>
  <c r="C121" i="3"/>
  <c r="B121" i="3"/>
  <c r="C120" i="3"/>
  <c r="B120" i="3"/>
  <c r="C119" i="3"/>
  <c r="B119" i="3"/>
  <c r="C118" i="3"/>
  <c r="B118" i="3"/>
  <c r="C117" i="3"/>
  <c r="B117" i="3"/>
  <c r="C116" i="3"/>
  <c r="B116" i="3"/>
  <c r="C115" i="3"/>
  <c r="B115" i="3"/>
  <c r="C114" i="3"/>
  <c r="B114" i="3"/>
  <c r="C113" i="3"/>
  <c r="B113" i="3"/>
  <c r="C112" i="3"/>
  <c r="B112" i="3"/>
  <c r="C111" i="3"/>
  <c r="B111" i="3"/>
  <c r="C110" i="3"/>
  <c r="B110" i="3"/>
  <c r="C109" i="3"/>
  <c r="B109" i="3"/>
  <c r="C108" i="3"/>
  <c r="B108" i="3"/>
  <c r="C107" i="3"/>
  <c r="B107" i="3"/>
  <c r="C106" i="3"/>
  <c r="B106" i="3"/>
  <c r="C105" i="3"/>
  <c r="B105" i="3"/>
  <c r="C104" i="3"/>
  <c r="B104" i="3"/>
  <c r="C103" i="3"/>
  <c r="B103" i="3"/>
  <c r="C102" i="3"/>
  <c r="B102" i="3"/>
  <c r="C101" i="3"/>
  <c r="B101" i="3"/>
  <c r="C100" i="3"/>
  <c r="B100" i="3"/>
  <c r="C99" i="3"/>
  <c r="B99" i="3"/>
  <c r="C98" i="3"/>
  <c r="B98" i="3"/>
  <c r="C97" i="3"/>
  <c r="B97" i="3"/>
  <c r="C96" i="3"/>
  <c r="B96" i="3"/>
  <c r="C95" i="3"/>
  <c r="B95" i="3"/>
  <c r="C94" i="3"/>
  <c r="B94" i="3"/>
  <c r="C93" i="3"/>
  <c r="B93" i="3"/>
  <c r="C92" i="3"/>
  <c r="B92" i="3"/>
  <c r="C91" i="3"/>
  <c r="B91" i="3"/>
  <c r="C90" i="3"/>
  <c r="B90" i="3"/>
  <c r="C89" i="3"/>
  <c r="B89" i="3"/>
  <c r="C88" i="3"/>
  <c r="B88" i="3"/>
  <c r="C87" i="3"/>
  <c r="B87" i="3"/>
  <c r="C86" i="3"/>
  <c r="B86" i="3"/>
  <c r="C85" i="3"/>
  <c r="B85" i="3"/>
  <c r="C84" i="3"/>
  <c r="B84" i="3"/>
  <c r="C83" i="3"/>
  <c r="B83" i="3"/>
  <c r="C82" i="3"/>
  <c r="B82" i="3"/>
  <c r="C81" i="3"/>
  <c r="B81" i="3"/>
  <c r="C80" i="3"/>
  <c r="B80" i="3"/>
  <c r="C79" i="3"/>
  <c r="B79" i="3"/>
  <c r="C78" i="3"/>
  <c r="B78" i="3"/>
  <c r="C77" i="3"/>
  <c r="B77" i="3"/>
  <c r="C76" i="3"/>
  <c r="B76" i="3"/>
  <c r="C75" i="3"/>
  <c r="B75" i="3"/>
  <c r="C74" i="3"/>
  <c r="B74" i="3"/>
  <c r="C73" i="3"/>
  <c r="B73" i="3"/>
  <c r="C72" i="3"/>
  <c r="B72" i="3"/>
  <c r="C71" i="3"/>
  <c r="B71" i="3"/>
  <c r="C70" i="3"/>
  <c r="B70" i="3"/>
  <c r="C69" i="3"/>
  <c r="B69" i="3"/>
  <c r="C68" i="3"/>
  <c r="B68" i="3"/>
  <c r="C67" i="3"/>
  <c r="B67" i="3"/>
  <c r="C66" i="3"/>
  <c r="B66" i="3"/>
  <c r="C65" i="3"/>
  <c r="B65" i="3"/>
  <c r="C64" i="3"/>
  <c r="B64" i="3"/>
  <c r="C63" i="3"/>
  <c r="B63" i="3"/>
  <c r="C62" i="3"/>
  <c r="B62" i="3"/>
  <c r="C61" i="3"/>
  <c r="B61" i="3"/>
  <c r="C60" i="3"/>
  <c r="B60" i="3"/>
  <c r="C59" i="3"/>
  <c r="B59" i="3"/>
  <c r="C58" i="3"/>
  <c r="B58" i="3"/>
  <c r="C57" i="3"/>
  <c r="B57" i="3"/>
  <c r="C56" i="3"/>
  <c r="B56" i="3"/>
  <c r="C55" i="3"/>
  <c r="B55" i="3"/>
  <c r="C54" i="3"/>
  <c r="B54" i="3"/>
  <c r="C53" i="3"/>
  <c r="B53" i="3"/>
  <c r="C52" i="3"/>
  <c r="B52" i="3"/>
  <c r="C51" i="3"/>
  <c r="B51" i="3"/>
  <c r="C50" i="3"/>
  <c r="B50" i="3"/>
  <c r="C49" i="3"/>
  <c r="B49" i="3"/>
  <c r="C48" i="3"/>
  <c r="B48" i="3"/>
  <c r="C47" i="3"/>
  <c r="B47" i="3"/>
  <c r="C46" i="3"/>
  <c r="B46" i="3"/>
  <c r="C45" i="3"/>
  <c r="B45" i="3"/>
  <c r="C44" i="3"/>
  <c r="B44" i="3"/>
  <c r="C43" i="3"/>
  <c r="B43" i="3"/>
  <c r="C42" i="3"/>
  <c r="B42" i="3"/>
  <c r="C41" i="3"/>
  <c r="B41" i="3"/>
  <c r="C40" i="3"/>
  <c r="B40" i="3"/>
  <c r="C39" i="3"/>
  <c r="B39" i="3"/>
  <c r="C38" i="3"/>
  <c r="B38" i="3"/>
  <c r="C37" i="3"/>
  <c r="B37" i="3"/>
  <c r="C36" i="3"/>
  <c r="B36" i="3"/>
  <c r="C35" i="3"/>
  <c r="B35" i="3"/>
  <c r="C34" i="3"/>
  <c r="B34" i="3"/>
  <c r="C33" i="3"/>
  <c r="B33" i="3"/>
  <c r="C32" i="3"/>
  <c r="B32" i="3"/>
  <c r="C31" i="3"/>
  <c r="B31" i="3"/>
  <c r="C30" i="3"/>
  <c r="B30" i="3"/>
  <c r="C29" i="3"/>
  <c r="B29" i="3"/>
  <c r="C28" i="3"/>
  <c r="B28" i="3"/>
  <c r="C27" i="3"/>
  <c r="B27" i="3"/>
  <c r="C26" i="3"/>
  <c r="B26" i="3"/>
  <c r="C25" i="3"/>
  <c r="B25" i="3"/>
  <c r="C24" i="3"/>
  <c r="B24" i="3"/>
  <c r="C23" i="3"/>
  <c r="B23" i="3"/>
  <c r="C22" i="3"/>
  <c r="B22" i="3"/>
  <c r="C21" i="3"/>
  <c r="B21" i="3"/>
  <c r="C20" i="3"/>
  <c r="B20" i="3"/>
  <c r="C19" i="3"/>
  <c r="B19" i="3"/>
  <c r="C18" i="3"/>
  <c r="B18" i="3"/>
  <c r="C17" i="3"/>
  <c r="B17" i="3"/>
  <c r="C16" i="3"/>
  <c r="B16" i="3"/>
  <c r="C15" i="3"/>
  <c r="B15" i="3"/>
  <c r="C14" i="3"/>
  <c r="B14" i="3"/>
  <c r="C13" i="3"/>
  <c r="B13" i="3"/>
  <c r="C12" i="3"/>
  <c r="B12" i="3"/>
  <c r="C11" i="3"/>
  <c r="B11" i="3"/>
  <c r="C10" i="3"/>
  <c r="B10" i="3"/>
  <c r="H9" i="3"/>
  <c r="C9" i="3"/>
  <c r="B9" i="3"/>
  <c r="C8" i="3"/>
  <c r="B8" i="3"/>
  <c r="C7" i="3"/>
  <c r="B7" i="3"/>
  <c r="C6" i="3"/>
  <c r="B6" i="3"/>
  <c r="C5" i="3"/>
  <c r="B5" i="3"/>
  <c r="C4" i="3"/>
  <c r="B4" i="3"/>
  <c r="C3" i="3"/>
  <c r="B3" i="3"/>
  <c r="H11" i="3" l="1" a="1"/>
  <c r="H11" i="3" s="1"/>
  <c r="H12" i="3" s="1"/>
  <c r="H2" i="3"/>
  <c r="H5" i="3" s="1"/>
  <c r="H3" i="3"/>
  <c r="H6" i="3" s="1"/>
  <c r="H15" i="3" l="1"/>
  <c r="H17" i="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<sst xmlns="http://schemas.openxmlformats.org/spreadsheetml/2006/main" count="2863" uniqueCount="175">
  <si>
    <t>season</t>
  </si>
  <si>
    <t>date</t>
  </si>
  <si>
    <t>time_raw</t>
  </si>
  <si>
    <t>kickoff_ct</t>
  </si>
  <si>
    <t>opponent</t>
  </si>
  <si>
    <t>opp_ranked</t>
  </si>
  <si>
    <t>opp_rank</t>
  </si>
  <si>
    <t>non_conf</t>
  </si>
  <si>
    <t>site</t>
  </si>
  <si>
    <t>result</t>
  </si>
  <si>
    <t>pts_for</t>
  </si>
  <si>
    <t>pts_against</t>
  </si>
  <si>
    <t>margin</t>
  </si>
  <si>
    <t>6:00 p.m.</t>
  </si>
  <si>
    <t>Western Carolina</t>
  </si>
  <si>
    <t>home</t>
  </si>
  <si>
    <t>W</t>
  </si>
  <si>
    <t>11:30 a.m.</t>
  </si>
  <si>
    <t>Vanderbilt</t>
  </si>
  <si>
    <t>away</t>
  </si>
  <si>
    <t>5:45 p.m.</t>
  </si>
  <si>
    <t>Arkansas</t>
  </si>
  <si>
    <t>6:45 p.m.</t>
  </si>
  <si>
    <t>Georgia</t>
  </si>
  <si>
    <t>L</t>
  </si>
  <si>
    <t>4:00 p.m.</t>
  </si>
  <si>
    <t>Florida State</t>
  </si>
  <si>
    <t>neutral</t>
  </si>
  <si>
    <t>2:00 p.m.</t>
  </si>
  <si>
    <t>Houston</t>
  </si>
  <si>
    <t>Ole Miss</t>
  </si>
  <si>
    <t>Tennessee</t>
  </si>
  <si>
    <t>LSU</t>
  </si>
  <si>
    <t>Mississippi State</t>
  </si>
  <si>
    <t>1:30 p.m.</t>
  </si>
  <si>
    <t>Louisianaâ€“Monroe</t>
  </si>
  <si>
    <t>7:00 p.m.</t>
  </si>
  <si>
    <t>Auburn</t>
  </si>
  <si>
    <t>Colorado</t>
  </si>
  <si>
    <t>Clemson</t>
  </si>
  <si>
    <t>Tulane</t>
  </si>
  <si>
    <t>Western Kentucky</t>
  </si>
  <si>
    <t>2:30 p.m.</t>
  </si>
  <si>
    <t>Kentucky</t>
  </si>
  <si>
    <t>Arkansas State</t>
  </si>
  <si>
    <t>3:00 p.m.</t>
  </si>
  <si>
    <t>Florida</t>
  </si>
  <si>
    <t>Utah</t>
  </si>
  <si>
    <t>7:10 p.m.</t>
  </si>
  <si>
    <t>Virginia Tech</t>
  </si>
  <si>
    <t>6:07 p.m.</t>
  </si>
  <si>
    <t>Florida International</t>
  </si>
  <si>
    <t>11:21 a.m.</t>
  </si>
  <si>
    <t>North Texas</t>
  </si>
  <si>
    <t>South Carolina</t>
  </si>
  <si>
    <t>Chattanooga</t>
  </si>
  <si>
    <t>7:39 p.m.</t>
  </si>
  <si>
    <t>Texas</t>
  </si>
  <si>
    <t>San Jose State</t>
  </si>
  <si>
    <t>Penn State</t>
  </si>
  <si>
    <t>Duke</t>
  </si>
  <si>
    <t>8:15 p.m.</t>
  </si>
  <si>
    <t>6:15 p.m.</t>
  </si>
  <si>
    <t>6:30 p.m.</t>
  </si>
  <si>
    <t>Georgia State</t>
  </si>
  <si>
    <t>Noon</t>
  </si>
  <si>
    <t>Michigan State</t>
  </si>
  <si>
    <t>Kent State</t>
  </si>
  <si>
    <t>5:00 p.m.</t>
  </si>
  <si>
    <t>1:00 p.m.</t>
  </si>
  <si>
    <t>(FCS) Georgia Southern</t>
  </si>
  <si>
    <t>7:30 p.m.</t>
  </si>
  <si>
    <t>Michigan</t>
  </si>
  <si>
    <t>Florida Atlantic</t>
  </si>
  <si>
    <t>Missouri</t>
  </si>
  <si>
    <t>7:45 p.m.</t>
  </si>
  <si>
    <t>Texas A&amp;M</t>
  </si>
  <si>
    <t>Notre Dame</t>
  </si>
  <si>
    <t>4:30 p.m.</t>
  </si>
  <si>
    <t>Colorado State</t>
  </si>
  <si>
    <t>5:30 p.m.</t>
  </si>
  <si>
    <t>Oklahoma</t>
  </si>
  <si>
    <t>West Virginia</t>
  </si>
  <si>
    <t>11:00 a.m.</t>
  </si>
  <si>
    <t>Southern Miss</t>
  </si>
  <si>
    <t>Ohio State</t>
  </si>
  <si>
    <t>Wisconsin</t>
  </si>
  <si>
    <t>Middle Tennessee</t>
  </si>
  <si>
    <t>Charleston Southern</t>
  </si>
  <si>
    <t>USC</t>
  </si>
  <si>
    <t>(FCS) Chattanooga</t>
  </si>
  <si>
    <t>Washington</t>
  </si>
  <si>
    <t>Fresno State</t>
  </si>
  <si>
    <t>8:00 p.m.</t>
  </si>
  <si>
    <t>Mercer</t>
  </si>
  <si>
    <t>Louisville</t>
  </si>
  <si>
    <t>Louisiana</t>
  </si>
  <si>
    <t>The Citadel</t>
  </si>
  <si>
    <t>New Mexico State</t>
  </si>
  <si>
    <t>12:00 p.m.</t>
  </si>
  <si>
    <t>Miami (FL)</t>
  </si>
  <si>
    <t>Cincinnati</t>
  </si>
  <si>
    <t>Utah State</t>
  </si>
  <si>
    <t>Austin Peay</t>
  </si>
  <si>
    <t>Kansas State</t>
  </si>
  <si>
    <t>South Florida</t>
  </si>
  <si>
    <t>3:15 p.m.</t>
  </si>
  <si>
    <t>(FCS) Mercer</t>
  </si>
  <si>
    <t>Eastern Illinois</t>
  </si>
  <si>
    <t>(8) No.Â 8 Oklahoma</t>
  </si>
  <si>
    <t>(1) No.Â 1 Indiana</t>
  </si>
  <si>
    <t>Home</t>
  </si>
  <si>
    <t>Away</t>
  </si>
  <si>
    <t>Rank</t>
  </si>
  <si>
    <t>Home U</t>
  </si>
  <si>
    <t>Away U</t>
  </si>
  <si>
    <t>Expected U if no difference</t>
  </si>
  <si>
    <t>How Much Deviation by Chance</t>
  </si>
  <si>
    <t>Ties</t>
  </si>
  <si>
    <t>How Much Deviation by Change (Accounting for Ties)</t>
  </si>
  <si>
    <t>Account for Ties</t>
  </si>
  <si>
    <t>Point Z at new SD</t>
  </si>
  <si>
    <t>p value</t>
  </si>
  <si>
    <t>Number of Games</t>
  </si>
  <si>
    <t>Home Rank Count</t>
  </si>
  <si>
    <t>Away Rank Count</t>
  </si>
  <si>
    <t>Home Mann-Whitney U Statistic</t>
  </si>
  <si>
    <t>Away Mann Whitney U Statistic</t>
  </si>
  <si>
    <t>Expected U Statistic if no difference</t>
  </si>
  <si>
    <t>S.D. Adjustment to Account for Ties</t>
  </si>
  <si>
    <t>How Much Deviation by Chance (Accounting for Ties)</t>
  </si>
  <si>
    <t>Mann–Whitney U test: home vs away point margin
Hypotheses:
H₀ (null): Alabama’s point margins come from the same distribution at home and away. Neither location produces larger margins.
H₁ (alternative): Alabama’s point margins differ between home and away games.
Data: 215 Alabama games, 2007–2025: 131 home and 84 away. Neutral-site games were excluded.
The Mann–Whitney U test showed that Alabama’s point margins were significantly higher in home games than in away games (U = 7,484, z = 4.46, p &lt; 0.0001 with alpha of 0.05). We reject the null hypothesis and conclude that home games lead to larger margins for Alabama. 
Note: This test shows a difference but not its cause. Alabama’s home schedule includes more weak non-conference opponents, which inflates the raw gap. Further testing is needed to account for strength of schedule. Also, These results apply to Alabama from 2007 to 2025 and may not generalize to other teams.</t>
  </si>
  <si>
    <t>morning</t>
  </si>
  <si>
    <t>night</t>
  </si>
  <si>
    <t>SUMMARY OUTPUT</t>
  </si>
  <si>
    <t>Regression Statistics</t>
  </si>
  <si>
    <t>Multiple R</t>
  </si>
  <si>
    <t>R Square</t>
  </si>
  <si>
    <t>Adjusted R Square</t>
  </si>
  <si>
    <t>Standard Error</t>
  </si>
  <si>
    <t>Observations</t>
  </si>
  <si>
    <t>ANOVA</t>
  </si>
  <si>
    <t>Regression</t>
  </si>
  <si>
    <t>Residual</t>
  </si>
  <si>
    <t>Total</t>
  </si>
  <si>
    <t>Intercept</t>
  </si>
  <si>
    <t>df</t>
  </si>
  <si>
    <t>SS</t>
  </si>
  <si>
    <t>MS</t>
  </si>
  <si>
    <t>F</t>
  </si>
  <si>
    <t>Significance F</t>
  </si>
  <si>
    <t>Coefficients</t>
  </si>
  <si>
    <t>t Stat</t>
  </si>
  <si>
    <t>P-value</t>
  </si>
  <si>
    <t>Lower 95%</t>
  </si>
  <si>
    <t>Upper 95%</t>
  </si>
  <si>
    <t>Lower 95.0%</t>
  </si>
  <si>
    <t>Upper 95.0%</t>
  </si>
  <si>
    <t>Assumptions</t>
  </si>
  <si>
    <t>Normality</t>
  </si>
  <si>
    <t>Independent Observations</t>
  </si>
  <si>
    <t>Zero Mean</t>
  </si>
  <si>
    <t>Constant Variance</t>
  </si>
  <si>
    <t>Testing</t>
  </si>
  <si>
    <t>Durbin Watson Test</t>
  </si>
  <si>
    <t>Normal Plot on a histogram</t>
  </si>
  <si>
    <t>Scatter Plot of residuals and fitted values</t>
  </si>
  <si>
    <t>"""Check the assumptions of the home-field regression (OLS)."""
from pathlib import Path
import matplotlib.pyplot as plt
import numpy as np
import pandas as pd
import statsmodels.api as sm
import statsmodels.formula.api as smf
from scipy import stats
from statsmodels.stats.diagnostic import het_breuschpagan
from statsmodels.stats.outliers_influence import variance_inflation_factor
from statsmodels.stats.stattools import durbin_watson
folder = Path.cwd()
games = pd.read_csv(folder / "alabama_games_2007_2025.csv")  # already in date order
# Same 0/1 columns as the Excel regression (away and afternoon are the baselines)
games["home"] = (games["site"] == "home").astype(int)
games["neutral"] = (games["site"] == "neutral").astype(int)
games["morning"] = (games["kickoff_ct"] &lt; 12).astype(int)
games["night"] = (games["kickoff_ct"] &gt;= 17).astype(int)
model = smf.ols("margin ~ home + neutral + morning + night + opp_ranked + non_conf", data=games).fit()
resid = model.resid
fitted = model.fittedvalues
print(f"Model: R-squared = {model.rsquared:.3f}, home effect = {model.params['home']:+.2f}\n")
# 1. LINEARITY / ADDITIVITY
# Every X is 0/1, so a straight line always fits each one exactly. The real question is
# whether effects simply add up. Test one interaction: is home field worth more vs ranked teams?
inter = smf.ols("margin ~ home * opp_ranked + neutral + morning + night + non_conf", data=games).fit()
print("1. Additivity (home x ranked interaction)")
print(f"   interaction = {inter.params['home:opp_ranked']:+.2f} points, p = {inter.pvalues['home:opp_ranked']:.3f}")
print("   -&gt; p &gt; 0.05 means no evidence that effects fail to add up\n")
# 2. INDEPENDENCE: are back-to-back games' errors related?
dw = durbin_watson(resid)
print("2. Independence (Durbin-Watson, games in date order)")
print(f"   DW = {dw:.2f}   (2 = none; below ~1.5 or above ~2.5 is a concern)\n")
# 3. EQUAL VARIANCE: are the errors about the same size for every prediction?
bp_stat, bp_p, _, _ = het_breuschpagan(resid, model.model.exog)
print("3. Equal variance (Breusch-Pagan)")
print(f"   p = {bp_p:.3f}   (p &gt; 0.05 means no evidence of unequal variance)\n")
# 4. NORMAL ERRORS: do the residuals form a bell curve?
sw_stat, sw_p = stats.shapiro(resid)
print("4. Normal residuals (Shapiro-Wilk)")
print(f"   W = {sw_stat:.3f}, p = {sw_p:.3f}   skew = {stats.skew(resid):.2f}, excess kurtosis = {stats.kurtosis(resid):.2f}")
print("   -&gt; p &gt; 0.05 and skew/kurtosis near 0 means roughly normal\n")
# 5. MULTICOLLINEARITY: are any X columns too closely related to each other?
X = model.model.exog
names = model.model.exog_names
print("5. Multicollinearity (VIF; under 5 is fine, over 10 is a problem)")
for i, name in enumerate(names):
    if name != "Intercept":
        print(f"   {name:11s} VIF = {variance_inflation_factor(X, i):.2f}")
print()
# 6. INFLUENTIAL GAMES: does any single game pull the results around?
infl = model.get_influence()
cooks = infl.cooks_distance[0]
student = infl.resid_studentized_external
cutoff = 4 / len(games)
flagged = games.assign(cooks=cooks, studentized=student)[(cooks &gt; cutoff) | (np.abs(student) &gt; 3)]
print(f"6. Influential games (Cook's distance &gt; {cutoff:.3f} or |studentized residual| &gt; 3)")
print(f"   {len(flagged)} games flagged; largest Cook's distance = {cooks.max():.3f} (over 1 is a serious concern)")
print(flagged[["season", "opponent", "site", "margin", "cooks", "studentized"]]
      .sort_values("cooks", ascending=False).head(8).round(3).to_string(index=False))
robust = smf.ols(model.model.formula, data=games[cooks &lt;= cutoff]).fit()
print(f"   home effect without flagged games: {robust.params['home']:+.2f} (vs {model.params['home']:+.2f} with them)\n")
# PLOTS
fig, ax = plt.subplots(2, 2, figsize=(11, 8))
ax[0, 0].scatter(fitted, resid, alpha=0.5, s=14, color="#9E1B32")
ax[0, 0].axhline(0, color="gray", lw=1)
ax[0, 0].set(title="Residuals vs predicted (want: even band, no funnel)", xlabel="Predicted margin", ylabel="Residual")
sm.qqplot(resid, line="s", ax=ax[0, 1])
ax[0, 1].set_title("Q-Q plot of residuals (want: points on the line)")
ax[1, 0].hist(resid, bins=25, color="#9E1B32", alpha=0.7, edgecolor="white")
ax[1, 0].set(title="Histogram of residuals (want: bell shape)", xlabel="Residual")
ax[1, 1].plot(resid.to_numpy(), marker="o", ms=3, lw=0.6, color="#555")
ax[1, 1].axhline(0, color="gray", lw=1)
ax[1, 1].set(title="Residuals in game order (want: no waves or runs)", xlabel="Game number (2007 to 2025)", ylabel="Residual")
fig.tight_layout()
out = folder / "figures" / "regression_assumptions.png"
out.parent.mkdir(exist_ok=True)
fig.savefig(out, dpi=150)
print(f"Plots saved to {out}")</t>
  </si>
  <si>
    <t>Results</t>
  </si>
  <si>
    <t>QQ Plot and histogram plot show normality</t>
  </si>
  <si>
    <t>Scatter plot is equally spread out so residuals largely cancel each other.</t>
  </si>
  <si>
    <t xml:space="preserve">Scatter plot is equally spread out, showing no pattern. </t>
  </si>
  <si>
    <t xml:space="preserve">1.79. which shows slight positive correlation. Largely immaterial, though. </t>
  </si>
  <si>
    <t xml:space="preserve">ANCOVA (analysis of covariance) compares group averages, like ANOVA, while accounting for other variables that also affect the outcome. Those other variables are called covariates.
1.) ANOVA:   Do the group averages differ?
2.) ANCOVA:  Do the group averages differ, once we account for the covariates?
The goal was to find out whether Alabama’s point margin differs by kickoff time: morning, afternoon or night. A one-way ANOVA answers that by comparing the three group averages directly. But ANOVA assumes the groups differ only in kickoff time, and that wasn’t true here.
Kickoff times aren’t random. TV networks schedule the most attractive matchups in the afternoon and evening windows and put less appealing games at 11 a.m.
Because opponent strength affects point margin directly, a plain ANOVA can’t tell whether a difference comes from when Alabama plays or who it plays. Opponent strength is a confounding variable.
ANCOVA (analysis of covariance) solves this by comparing the kickoff groups while statistically holding opponent strength constant. Three covariates were included:
1.) Ranked opponent (yes/no): a measure of opponent quality
2.) Non-conference opponent (yes/no): non-conference games are often against much weaker programs
3.) Game site (home/away/neutral): location affects margin, and the site mix differs slightly across kickoff times
We controlled for opponent ranking, conference status and game site, and compared morning and night games against afternoon games as the reference group.
As for results, Alabama’s performance depends on who it plays and where, not when: ranked opponents cost about 11 points and home field adds about 8, while kickoff time has no significant effect.
Note: Opponent strength was measured simply as ranked or unranked, so a No. 1 opponent counts the same as a No. 25. A finer measure, such as the betting point spread , would adjust more precisely. 
</t>
  </si>
  <si>
    <t>Question:
Does Alabama play better at home? And does factors like whether the game was played in the morning, afternoon, or night affect Alabama's performance?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</si>
</sst>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0000000"/>
  </numFmts>
  <fonts count="20">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sz val="10"/>
      <color theme="1"/>
      <name val="Arial Unicode MS"/>
    </font>
    <font>
      <i/>
      <sz val="11"/>
      <color theme="1"/>
      <name val="Aptos Narrow"/>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3" tint="0.749992370372631"/>
        <bgColor indexed="64"/>
      </patternFill>
    </fill>
  </fills>
  <borders count="2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bottom style="medium">
        <color indexed="64"/>
      </bottom>
      <diagonal/>
    </border>
    <border>
      <left/>
      <right/>
      <top style="medium">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32">
    <xf numFmtId="0" fontId="0" fillId="0" borderId="0" xfId="0"/>
    <xf numFmtId="16" fontId="0" fillId="0" borderId="0" xfId="0" applyNumberFormat="1"/>
    <xf numFmtId="15" fontId="0" fillId="0" borderId="0" xfId="0" applyNumberFormat="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0" xfId="0" applyBorder="1"/>
    <xf numFmtId="0" fontId="0" fillId="0" borderId="17" xfId="0" applyBorder="1"/>
    <xf numFmtId="0" fontId="0" fillId="0" borderId="18" xfId="0" applyBorder="1"/>
    <xf numFmtId="0" fontId="0" fillId="0" borderId="0" xfId="0" applyAlignment="1">
      <alignment wrapText="1"/>
    </xf>
    <xf numFmtId="164" fontId="18" fillId="0" borderId="0" xfId="0" applyNumberFormat="1" applyFont="1" applyAlignment="1">
      <alignment vertical="center"/>
    </xf>
    <xf numFmtId="16" fontId="0" fillId="0" borderId="10" xfId="0" applyNumberFormat="1" applyBorder="1"/>
    <xf numFmtId="15" fontId="0" fillId="0" borderId="10" xfId="0" applyNumberFormat="1" applyBorder="1"/>
    <xf numFmtId="15" fontId="0" fillId="0" borderId="19" xfId="0" applyNumberFormat="1" applyBorder="1"/>
    <xf numFmtId="0" fontId="0" fillId="0" borderId="19" xfId="0" applyBorder="1"/>
    <xf numFmtId="0" fontId="0" fillId="33" borderId="10" xfId="0" applyFill="1" applyBorder="1"/>
    <xf numFmtId="0" fontId="0" fillId="33" borderId="10" xfId="0" applyFill="1" applyBorder="1" applyAlignment="1">
      <alignment wrapText="1"/>
    </xf>
    <xf numFmtId="0" fontId="0" fillId="34" borderId="10" xfId="0" applyFill="1" applyBorder="1"/>
    <xf numFmtId="164" fontId="18" fillId="34" borderId="10" xfId="0" applyNumberFormat="1" applyFont="1" applyFill="1" applyBorder="1" applyAlignment="1">
      <alignment vertical="center"/>
    </xf>
    <xf numFmtId="0" fontId="0" fillId="0" borderId="20" xfId="0" applyBorder="1"/>
    <xf numFmtId="0" fontId="19" fillId="0" borderId="21" xfId="0" applyFont="1" applyBorder="1" applyAlignment="1">
      <alignment horizontal="center"/>
    </xf>
    <xf numFmtId="0" fontId="19" fillId="0" borderId="21" xfId="0" applyFont="1" applyBorder="1" applyAlignment="1">
      <alignment horizontal="centerContinuous"/>
    </xf>
    <xf numFmtId="0" fontId="0" fillId="35" borderId="0" xfId="0" applyFill="1"/>
    <xf numFmtId="0" fontId="0" fillId="36" borderId="0" xfId="0" applyFill="1"/>
    <xf numFmtId="0" fontId="0" fillId="34" borderId="10" xfId="0" applyFill="1" applyBorder="1" applyAlignment="1">
      <alignment horizontal="left" vertical="top" wrapText="1"/>
    </xf>
    <xf numFmtId="0" fontId="0" fillId="33" borderId="10" xfId="0" applyFill="1" applyBorder="1" applyAlignment="1">
      <alignment horizontal="left" vertical="top" wrapText="1"/>
    </xf>
    <xf numFmtId="0" fontId="0" fillId="33" borderId="10" xfId="0" applyFill="1" applyBorder="1" applyAlignment="1">
      <alignment horizontal="left" vertical="top"/>
    </xf>
    <xf numFmtId="0" fontId="0" fillId="34" borderId="10" xfId="0" applyFill="1" applyBorder="1" applyAlignment="1">
      <alignment horizontal="left" vertical="top"/>
    </xf>
    <xf numFmtId="0" fontId="0" fillId="34" borderId="10" xfId="0" applyFill="1" applyBorder="1" applyAlignment="1">
      <alignment horizont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46">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right style="thin">
          <color indexed="64"/>
        </right>
        <top/>
        <bottom style="thin">
          <color indexed="64"/>
        </bottom>
        <vertical/>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right style="thin">
          <color indexed="64"/>
        </right>
        <top/>
        <bottom style="thin">
          <color indexed="64"/>
        </bottom>
        <vertical/>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21" formatCode="d\-mmm"/>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1348740</xdr:colOff>
      <xdr:row>101</xdr:row>
      <xdr:rowOff>60960</xdr:rowOff>
    </xdr:from>
    <xdr:to>
      <xdr:col>6</xdr:col>
      <xdr:colOff>115011</xdr:colOff>
      <xdr:row>133</xdr:row>
      <xdr:rowOff>168156</xdr:rowOff>
    </xdr:to>
    <xdr:pic>
      <xdr:nvPicPr>
        <xdr:cNvPr id="2" name="Picture 1">
          <a:extLst>
            <a:ext uri="{FF2B5EF4-FFF2-40B4-BE49-F238E27FC236}">
              <a16:creationId xmlns:a16="http://schemas.microsoft.com/office/drawing/2014/main" id="{B187AC76-08EB-61B6-1F90-C68432E6894F}"/>
            </a:ext>
          </a:extLst>
        </xdr:cNvPr>
        <xdr:cNvPicPr>
          <a:picLocks noChangeAspect="1"/>
        </xdr:cNvPicPr>
      </xdr:nvPicPr>
      <xdr:blipFill>
        <a:blip xmlns:r="http://schemas.openxmlformats.org/officeDocument/2006/relationships" r:embed="rId1"/>
        <a:stretch>
          <a:fillRect/>
        </a:stretch>
      </xdr:blipFill>
      <xdr:spPr>
        <a:xfrm>
          <a:off x="1958340" y="18531840"/>
          <a:ext cx="8207451" cy="595935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15FF5F7-5F96-464C-B554-9F4A9444EA2F}" name="Table2" displayName="Table2" ref="B2:N265" totalsRowShown="0" headerRowDxfId="45" headerRowBorderDxfId="44" tableBorderDxfId="43" totalsRowBorderDxfId="42">
  <autoFilter ref="B2:N265" xr:uid="{A15FF5F7-5F96-464C-B554-9F4A9444EA2F}"/>
  <tableColumns count="13">
    <tableColumn id="1" xr3:uid="{A0F3FE0E-448B-4B60-B1E0-8A96C5C1E5BC}" name="season" dataDxfId="41"/>
    <tableColumn id="2" xr3:uid="{62F10F0D-8C82-4B9D-A119-BBEE7C15F558}" name="date" dataDxfId="40"/>
    <tableColumn id="3" xr3:uid="{1013C15A-A83C-44C0-894B-EC5402D7D818}" name="time_raw" dataDxfId="39"/>
    <tableColumn id="4" xr3:uid="{44F28C84-D7A0-48AD-A12C-312C98E27EEC}" name="kickoff_ct" dataDxfId="38"/>
    <tableColumn id="5" xr3:uid="{22047A2A-2B69-478B-BD5C-A23FD9D9D148}" name="opponent" dataDxfId="37"/>
    <tableColumn id="6" xr3:uid="{1351E6EF-1A53-47FA-A7D1-9A4261A3EA52}" name="opp_ranked" dataDxfId="36"/>
    <tableColumn id="7" xr3:uid="{F1F2FC59-258A-4710-B7AE-2BC4C028C28E}" name="opp_rank" dataDxfId="35"/>
    <tableColumn id="8" xr3:uid="{947A60DF-B8F8-4B10-BE56-CBB7D45F471C}" name="non_conf" dataDxfId="34"/>
    <tableColumn id="9" xr3:uid="{83778C10-603D-43A6-992A-9DF0ECD39C71}" name="site" dataDxfId="33"/>
    <tableColumn id="10" xr3:uid="{2347F01D-F671-47BD-B90E-3862444BCF4A}" name="result" dataDxfId="32"/>
    <tableColumn id="11" xr3:uid="{A77778AE-48F4-4667-B308-B569CC837038}" name="pts_for" dataDxfId="31"/>
    <tableColumn id="12" xr3:uid="{E5219590-0987-4258-A7B6-3A29586CBB90}" name="pts_against" dataDxfId="30"/>
    <tableColumn id="13" xr3:uid="{39B531FB-C3DF-4C64-A351-97DA2A76579B}" name="margin" dataDxfId="29"/>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BA32D3E-232B-4F09-8F7F-4B8EC147A71F}" name="Table15" displayName="Table15" ref="B2:E217" totalsRowShown="0" headerRowDxfId="28" headerRowBorderDxfId="27" tableBorderDxfId="26" totalsRowBorderDxfId="25">
  <autoFilter ref="B2:E217" xr:uid="{BBA32D3E-232B-4F09-8F7F-4B8EC147A71F}"/>
  <sortState xmlns:xlrd2="http://schemas.microsoft.com/office/spreadsheetml/2017/richdata2" ref="B3:E217">
    <sortCondition ref="B275:B490"/>
  </sortState>
  <tableColumns count="4">
    <tableColumn id="3" xr3:uid="{5C5345CA-B82A-45FD-B84D-26581928D0C7}" name="Rank" dataDxfId="24">
      <calculatedColumnFormula>_xlfn.RANK.AVG(Table15[[#This Row],[margin]], Table15[margin], 1)</calculatedColumnFormula>
    </tableColumn>
    <tableColumn id="5" xr3:uid="{02438C66-6909-4150-B43F-549FD9913083}" name="Ties" dataDxfId="23">
      <calculatedColumnFormula>COUNTIF(Table15[margin], Table15[[#This Row],[margin]])</calculatedColumnFormula>
    </tableColumn>
    <tableColumn id="1" xr3:uid="{179CDEF5-A118-4825-AC1D-DBAA7B431F14}" name="site" dataDxfId="22"/>
    <tableColumn id="2" xr3:uid="{E034DCFD-AC00-464F-B42F-C2F665090C6C}" name="margin" dataDxfId="21"/>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58C4687-898F-4731-878B-DD37ED964341}" name="Table16" displayName="Table16" ref="F275:I490" totalsRowShown="0" headerRowDxfId="20" headerRowBorderDxfId="19" tableBorderDxfId="18" totalsRowBorderDxfId="17">
  <autoFilter ref="F275:I490" xr:uid="{858C4687-898F-4731-878B-DD37ED964341}"/>
  <sortState xmlns:xlrd2="http://schemas.microsoft.com/office/spreadsheetml/2017/richdata2" ref="F276:I490">
    <sortCondition ref="F275:F490"/>
  </sortState>
  <tableColumns count="4">
    <tableColumn id="3" xr3:uid="{6BC9CDA7-AB5A-4C3A-BBCA-3872F16EC3BE}" name="Rank" dataDxfId="16">
      <calculatedColumnFormula>_xlfn.RANK.AVG(Table16[[#This Row],[margin]], Table16[margin], 1)</calculatedColumnFormula>
    </tableColumn>
    <tableColumn id="5" xr3:uid="{0D27E4C7-7CC6-41A8-B0FB-5796A2E4E8A1}" name="Ties" dataDxfId="15">
      <calculatedColumnFormula>COUNTIF(Table16[margin], Table16[[#This Row],[margin]])</calculatedColumnFormula>
    </tableColumn>
    <tableColumn id="1" xr3:uid="{AEF01A14-DEAC-4633-BF47-AE1FA6B23395}" name="site" dataDxfId="14"/>
    <tableColumn id="2" xr3:uid="{3BFBF75E-60E9-441B-9D14-07FF96653370}" name="margin" dataDxfId="13"/>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A5F0539-7342-4544-85E8-278237EC8FA1}" name="Table1" displayName="Table1" ref="B2:D6" totalsRowShown="0" headerRowDxfId="12" headerRowBorderDxfId="11" tableBorderDxfId="10" totalsRowBorderDxfId="9">
  <autoFilter ref="B2:D6" xr:uid="{EA5F0539-7342-4544-85E8-278237EC8FA1}"/>
  <tableColumns count="3">
    <tableColumn id="1" xr3:uid="{E23B85A3-BEAC-4DB0-B15F-E7870C51A580}" name="Assumptions" dataDxfId="8"/>
    <tableColumn id="2" xr3:uid="{79184BDA-2295-499A-BEC7-9A6E6910CF07}" name="Testing" dataDxfId="7"/>
    <tableColumn id="3" xr3:uid="{097516D9-AEC6-422F-B3D8-CD7CFAA8D572}" name="Results" dataDxfId="6"/>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238953-AFD2-4C26-9A33-24EC7CF2FA9F}">
  <sheetPr>
    <tabColor theme="0" tint="-0.14999847407452621"/>
  </sheetPr>
  <dimension ref="B2:N8"/>
  <sheetViews>
    <sheetView showGridLines="0" workbookViewId="0">
      <selection activeCell="F33" sqref="F33"/>
    </sheetView>
  </sheetViews>
  <sheetFormatPr defaultRowHeight="14.4"/>
  <cols>
    <col min="1" max="1" width="4.88671875" customWidth="1"/>
  </cols>
  <sheetData>
    <row r="2" spans="2:14">
      <c r="B2" s="28" t="s">
        <v>174</v>
      </c>
      <c r="C2" s="29"/>
      <c r="D2" s="29"/>
      <c r="E2" s="29"/>
      <c r="F2" s="29"/>
      <c r="G2" s="29"/>
      <c r="H2" s="29"/>
      <c r="I2" s="29"/>
      <c r="J2" s="29"/>
      <c r="K2" s="29"/>
      <c r="L2" s="29"/>
      <c r="M2" s="29"/>
      <c r="N2" s="29"/>
    </row>
    <row r="3" spans="2:14">
      <c r="B3" s="29"/>
      <c r="C3" s="29"/>
      <c r="D3" s="29"/>
      <c r="E3" s="29"/>
      <c r="F3" s="29"/>
      <c r="G3" s="29"/>
      <c r="H3" s="29"/>
      <c r="I3" s="29"/>
      <c r="J3" s="29"/>
      <c r="K3" s="29"/>
      <c r="L3" s="29"/>
      <c r="M3" s="29"/>
      <c r="N3" s="29"/>
    </row>
    <row r="4" spans="2:14">
      <c r="B4" s="29"/>
      <c r="C4" s="29"/>
      <c r="D4" s="29"/>
      <c r="E4" s="29"/>
      <c r="F4" s="29"/>
      <c r="G4" s="29"/>
      <c r="H4" s="29"/>
      <c r="I4" s="29"/>
      <c r="J4" s="29"/>
      <c r="K4" s="29"/>
      <c r="L4" s="29"/>
      <c r="M4" s="29"/>
      <c r="N4" s="29"/>
    </row>
    <row r="5" spans="2:14">
      <c r="B5" s="29"/>
      <c r="C5" s="29"/>
      <c r="D5" s="29"/>
      <c r="E5" s="29"/>
      <c r="F5" s="29"/>
      <c r="G5" s="29"/>
      <c r="H5" s="29"/>
      <c r="I5" s="29"/>
      <c r="J5" s="29"/>
      <c r="K5" s="29"/>
      <c r="L5" s="29"/>
      <c r="M5" s="29"/>
      <c r="N5" s="29"/>
    </row>
    <row r="6" spans="2:14">
      <c r="B6" s="29"/>
      <c r="C6" s="29"/>
      <c r="D6" s="29"/>
      <c r="E6" s="29"/>
      <c r="F6" s="29"/>
      <c r="G6" s="29"/>
      <c r="H6" s="29"/>
      <c r="I6" s="29"/>
      <c r="J6" s="29"/>
      <c r="K6" s="29"/>
      <c r="L6" s="29"/>
      <c r="M6" s="29"/>
      <c r="N6" s="29"/>
    </row>
    <row r="7" spans="2:14">
      <c r="B7" s="29"/>
      <c r="C7" s="29"/>
      <c r="D7" s="29"/>
      <c r="E7" s="29"/>
      <c r="F7" s="29"/>
      <c r="G7" s="29"/>
      <c r="H7" s="29"/>
      <c r="I7" s="29"/>
      <c r="J7" s="29"/>
      <c r="K7" s="29"/>
      <c r="L7" s="29"/>
      <c r="M7" s="29"/>
      <c r="N7" s="29"/>
    </row>
    <row r="8" spans="2:14">
      <c r="B8" s="29"/>
      <c r="C8" s="29"/>
      <c r="D8" s="29"/>
      <c r="E8" s="29"/>
      <c r="F8" s="29"/>
      <c r="G8" s="29"/>
      <c r="H8" s="29"/>
      <c r="I8" s="29"/>
      <c r="J8" s="29"/>
      <c r="K8" s="29"/>
      <c r="L8" s="29"/>
      <c r="M8" s="29"/>
      <c r="N8" s="29"/>
    </row>
  </sheetData>
  <mergeCells count="1">
    <mergeCell ref="B2:N8"/>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D449A8-588B-4B2C-AC54-199216CAE576}">
  <sheetPr>
    <tabColor theme="0" tint="-0.14999847407452621"/>
  </sheetPr>
  <dimension ref="B2:N265"/>
  <sheetViews>
    <sheetView showGridLines="0" workbookViewId="0">
      <selection activeCell="T22" sqref="T22"/>
    </sheetView>
  </sheetViews>
  <sheetFormatPr defaultRowHeight="14.4"/>
  <cols>
    <col min="1" max="1" width="5" customWidth="1"/>
    <col min="2" max="2" width="9.21875" customWidth="1"/>
    <col min="4" max="4" width="10.6640625" customWidth="1"/>
    <col min="5" max="5" width="11" customWidth="1"/>
    <col min="6" max="6" width="11.109375" customWidth="1"/>
    <col min="7" max="7" width="13.109375" customWidth="1"/>
    <col min="8" max="8" width="11" customWidth="1"/>
    <col min="9" max="9" width="10.88671875" customWidth="1"/>
    <col min="13" max="13" width="12.77734375" customWidth="1"/>
    <col min="14" max="14" width="9" customWidth="1"/>
  </cols>
  <sheetData>
    <row r="2" spans="2:14">
      <c r="B2" s="3" t="s">
        <v>0</v>
      </c>
      <c r="C2" s="11" t="s">
        <v>1</v>
      </c>
      <c r="D2" s="11" t="s">
        <v>2</v>
      </c>
      <c r="E2" s="11" t="s">
        <v>3</v>
      </c>
      <c r="F2" s="11" t="s">
        <v>4</v>
      </c>
      <c r="G2" s="11" t="s">
        <v>5</v>
      </c>
      <c r="H2" s="11" t="s">
        <v>6</v>
      </c>
      <c r="I2" s="11" t="s">
        <v>7</v>
      </c>
      <c r="J2" s="11" t="s">
        <v>8</v>
      </c>
      <c r="K2" s="11" t="s">
        <v>9</v>
      </c>
      <c r="L2" s="11" t="s">
        <v>10</v>
      </c>
      <c r="M2" s="11" t="s">
        <v>11</v>
      </c>
      <c r="N2" s="4" t="s">
        <v>12</v>
      </c>
    </row>
    <row r="3" spans="2:14">
      <c r="B3" s="5">
        <v>2007</v>
      </c>
      <c r="C3" s="14">
        <v>46266</v>
      </c>
      <c r="D3" s="9" t="s">
        <v>13</v>
      </c>
      <c r="E3" s="9">
        <v>18</v>
      </c>
      <c r="F3" s="9" t="s">
        <v>14</v>
      </c>
      <c r="G3" s="9">
        <v>0</v>
      </c>
      <c r="H3" s="9"/>
      <c r="I3" s="9">
        <v>1</v>
      </c>
      <c r="J3" s="9" t="s">
        <v>15</v>
      </c>
      <c r="K3" s="9" t="s">
        <v>16</v>
      </c>
      <c r="L3" s="9">
        <v>52</v>
      </c>
      <c r="M3" s="9">
        <v>6</v>
      </c>
      <c r="N3" s="6">
        <v>46</v>
      </c>
    </row>
    <row r="4" spans="2:14">
      <c r="B4" s="5">
        <v>2007</v>
      </c>
      <c r="C4" s="14">
        <v>46273</v>
      </c>
      <c r="D4" s="9" t="s">
        <v>17</v>
      </c>
      <c r="E4" s="9">
        <v>11.5</v>
      </c>
      <c r="F4" s="9" t="s">
        <v>18</v>
      </c>
      <c r="G4" s="9">
        <v>0</v>
      </c>
      <c r="H4" s="9"/>
      <c r="I4" s="9">
        <v>0</v>
      </c>
      <c r="J4" s="9" t="s">
        <v>19</v>
      </c>
      <c r="K4" s="9" t="s">
        <v>16</v>
      </c>
      <c r="L4" s="9">
        <v>24</v>
      </c>
      <c r="M4" s="9">
        <v>10</v>
      </c>
      <c r="N4" s="6">
        <v>14</v>
      </c>
    </row>
    <row r="5" spans="2:14">
      <c r="B5" s="5">
        <v>2007</v>
      </c>
      <c r="C5" s="14">
        <v>46280</v>
      </c>
      <c r="D5" s="9" t="s">
        <v>20</v>
      </c>
      <c r="E5" s="9">
        <v>17.75</v>
      </c>
      <c r="F5" s="9" t="s">
        <v>21</v>
      </c>
      <c r="G5" s="9">
        <v>1</v>
      </c>
      <c r="H5" s="9">
        <v>16</v>
      </c>
      <c r="I5" s="9">
        <v>0</v>
      </c>
      <c r="J5" s="9" t="s">
        <v>15</v>
      </c>
      <c r="K5" s="9" t="s">
        <v>16</v>
      </c>
      <c r="L5" s="9">
        <v>41</v>
      </c>
      <c r="M5" s="9">
        <v>38</v>
      </c>
      <c r="N5" s="6">
        <v>3</v>
      </c>
    </row>
    <row r="6" spans="2:14">
      <c r="B6" s="5">
        <v>2007</v>
      </c>
      <c r="C6" s="14">
        <v>46287</v>
      </c>
      <c r="D6" s="9" t="s">
        <v>22</v>
      </c>
      <c r="E6" s="9">
        <v>18.75</v>
      </c>
      <c r="F6" s="9" t="s">
        <v>23</v>
      </c>
      <c r="G6" s="9">
        <v>1</v>
      </c>
      <c r="H6" s="9">
        <v>22</v>
      </c>
      <c r="I6" s="9">
        <v>0</v>
      </c>
      <c r="J6" s="9" t="s">
        <v>15</v>
      </c>
      <c r="K6" s="9" t="s">
        <v>24</v>
      </c>
      <c r="L6" s="9">
        <v>23</v>
      </c>
      <c r="M6" s="9">
        <v>26</v>
      </c>
      <c r="N6" s="6">
        <v>-3</v>
      </c>
    </row>
    <row r="7" spans="2:14">
      <c r="B7" s="5">
        <v>2007</v>
      </c>
      <c r="C7" s="14">
        <v>46294</v>
      </c>
      <c r="D7" s="9" t="s">
        <v>25</v>
      </c>
      <c r="E7" s="9">
        <v>16</v>
      </c>
      <c r="F7" s="9" t="s">
        <v>26</v>
      </c>
      <c r="G7" s="9">
        <v>0</v>
      </c>
      <c r="H7" s="9"/>
      <c r="I7" s="9">
        <v>1</v>
      </c>
      <c r="J7" s="9" t="s">
        <v>27</v>
      </c>
      <c r="K7" s="9" t="s">
        <v>24</v>
      </c>
      <c r="L7" s="9">
        <v>14</v>
      </c>
      <c r="M7" s="9">
        <v>21</v>
      </c>
      <c r="N7" s="6">
        <v>-7</v>
      </c>
    </row>
    <row r="8" spans="2:14">
      <c r="B8" s="5">
        <v>2007</v>
      </c>
      <c r="C8" s="14">
        <v>46301</v>
      </c>
      <c r="D8" s="9" t="s">
        <v>28</v>
      </c>
      <c r="E8" s="9">
        <v>14</v>
      </c>
      <c r="F8" s="9" t="s">
        <v>29</v>
      </c>
      <c r="G8" s="9">
        <v>0</v>
      </c>
      <c r="H8" s="9"/>
      <c r="I8" s="9">
        <v>1</v>
      </c>
      <c r="J8" s="9" t="s">
        <v>15</v>
      </c>
      <c r="K8" s="9" t="s">
        <v>16</v>
      </c>
      <c r="L8" s="9">
        <v>30</v>
      </c>
      <c r="M8" s="9">
        <v>24</v>
      </c>
      <c r="N8" s="6">
        <v>6</v>
      </c>
    </row>
    <row r="9" spans="2:14">
      <c r="B9" s="5">
        <v>2007</v>
      </c>
      <c r="C9" s="14">
        <v>46308</v>
      </c>
      <c r="D9" s="9" t="s">
        <v>17</v>
      </c>
      <c r="E9" s="9">
        <v>11.5</v>
      </c>
      <c r="F9" s="9" t="s">
        <v>30</v>
      </c>
      <c r="G9" s="9">
        <v>0</v>
      </c>
      <c r="H9" s="9"/>
      <c r="I9" s="9">
        <v>0</v>
      </c>
      <c r="J9" s="9" t="s">
        <v>19</v>
      </c>
      <c r="K9" s="9" t="s">
        <v>16</v>
      </c>
      <c r="L9" s="9">
        <v>27</v>
      </c>
      <c r="M9" s="9">
        <v>24</v>
      </c>
      <c r="N9" s="6">
        <v>3</v>
      </c>
    </row>
    <row r="10" spans="2:14">
      <c r="B10" s="5">
        <v>2007</v>
      </c>
      <c r="C10" s="14">
        <v>46315</v>
      </c>
      <c r="D10" s="9" t="s">
        <v>17</v>
      </c>
      <c r="E10" s="9">
        <v>11.5</v>
      </c>
      <c r="F10" s="9" t="s">
        <v>31</v>
      </c>
      <c r="G10" s="9">
        <v>1</v>
      </c>
      <c r="H10" s="9">
        <v>20</v>
      </c>
      <c r="I10" s="9">
        <v>0</v>
      </c>
      <c r="J10" s="9" t="s">
        <v>15</v>
      </c>
      <c r="K10" s="9" t="s">
        <v>16</v>
      </c>
      <c r="L10" s="9">
        <v>41</v>
      </c>
      <c r="M10" s="9">
        <v>17</v>
      </c>
      <c r="N10" s="6">
        <v>24</v>
      </c>
    </row>
    <row r="11" spans="2:14">
      <c r="B11" s="5">
        <v>2007</v>
      </c>
      <c r="C11" s="14">
        <v>46329</v>
      </c>
      <c r="D11" s="9" t="s">
        <v>25</v>
      </c>
      <c r="E11" s="9">
        <v>16</v>
      </c>
      <c r="F11" s="9" t="s">
        <v>32</v>
      </c>
      <c r="G11" s="9">
        <v>1</v>
      </c>
      <c r="H11" s="9">
        <v>3</v>
      </c>
      <c r="I11" s="9">
        <v>0</v>
      </c>
      <c r="J11" s="9" t="s">
        <v>15</v>
      </c>
      <c r="K11" s="9" t="s">
        <v>24</v>
      </c>
      <c r="L11" s="9">
        <v>34</v>
      </c>
      <c r="M11" s="9">
        <v>41</v>
      </c>
      <c r="N11" s="6">
        <v>-7</v>
      </c>
    </row>
    <row r="12" spans="2:14">
      <c r="B12" s="5">
        <v>2007</v>
      </c>
      <c r="C12" s="14">
        <v>46336</v>
      </c>
      <c r="D12" s="9" t="s">
        <v>17</v>
      </c>
      <c r="E12" s="9">
        <v>11.5</v>
      </c>
      <c r="F12" s="9" t="s">
        <v>33</v>
      </c>
      <c r="G12" s="9">
        <v>0</v>
      </c>
      <c r="H12" s="9"/>
      <c r="I12" s="9">
        <v>0</v>
      </c>
      <c r="J12" s="9" t="s">
        <v>19</v>
      </c>
      <c r="K12" s="9" t="s">
        <v>24</v>
      </c>
      <c r="L12" s="9">
        <v>12</v>
      </c>
      <c r="M12" s="9">
        <v>17</v>
      </c>
      <c r="N12" s="6">
        <v>-5</v>
      </c>
    </row>
    <row r="13" spans="2:14">
      <c r="B13" s="5">
        <v>2007</v>
      </c>
      <c r="C13" s="14">
        <v>46343</v>
      </c>
      <c r="D13" s="9" t="s">
        <v>34</v>
      </c>
      <c r="E13" s="9">
        <v>13.5</v>
      </c>
      <c r="F13" s="9" t="s">
        <v>35</v>
      </c>
      <c r="G13" s="9">
        <v>0</v>
      </c>
      <c r="H13" s="9"/>
      <c r="I13" s="9">
        <v>1</v>
      </c>
      <c r="J13" s="9" t="s">
        <v>15</v>
      </c>
      <c r="K13" s="9" t="s">
        <v>24</v>
      </c>
      <c r="L13" s="9">
        <v>14</v>
      </c>
      <c r="M13" s="9">
        <v>21</v>
      </c>
      <c r="N13" s="6">
        <v>-7</v>
      </c>
    </row>
    <row r="14" spans="2:14">
      <c r="B14" s="5">
        <v>2007</v>
      </c>
      <c r="C14" s="14">
        <v>46350</v>
      </c>
      <c r="D14" s="9" t="s">
        <v>36</v>
      </c>
      <c r="E14" s="9">
        <v>19</v>
      </c>
      <c r="F14" s="9" t="s">
        <v>37</v>
      </c>
      <c r="G14" s="9">
        <v>1</v>
      </c>
      <c r="H14" s="9">
        <v>25</v>
      </c>
      <c r="I14" s="9">
        <v>0</v>
      </c>
      <c r="J14" s="9" t="s">
        <v>19</v>
      </c>
      <c r="K14" s="9" t="s">
        <v>24</v>
      </c>
      <c r="L14" s="9">
        <v>10</v>
      </c>
      <c r="M14" s="9">
        <v>17</v>
      </c>
      <c r="N14" s="6">
        <v>-7</v>
      </c>
    </row>
    <row r="15" spans="2:14">
      <c r="B15" s="5">
        <v>2007</v>
      </c>
      <c r="C15" s="14">
        <v>46386</v>
      </c>
      <c r="D15" s="9" t="s">
        <v>36</v>
      </c>
      <c r="E15" s="9">
        <v>19</v>
      </c>
      <c r="F15" s="9" t="s">
        <v>38</v>
      </c>
      <c r="G15" s="9">
        <v>0</v>
      </c>
      <c r="H15" s="9"/>
      <c r="I15" s="9">
        <v>1</v>
      </c>
      <c r="J15" s="9" t="s">
        <v>27</v>
      </c>
      <c r="K15" s="9" t="s">
        <v>16</v>
      </c>
      <c r="L15" s="9">
        <v>30</v>
      </c>
      <c r="M15" s="9">
        <v>24</v>
      </c>
      <c r="N15" s="6">
        <v>6</v>
      </c>
    </row>
    <row r="16" spans="2:14">
      <c r="B16" s="5">
        <v>2008</v>
      </c>
      <c r="C16" s="14">
        <v>46264</v>
      </c>
      <c r="D16" s="9" t="s">
        <v>36</v>
      </c>
      <c r="E16" s="9">
        <v>19</v>
      </c>
      <c r="F16" s="9" t="s">
        <v>39</v>
      </c>
      <c r="G16" s="9">
        <v>1</v>
      </c>
      <c r="H16" s="9">
        <v>9</v>
      </c>
      <c r="I16" s="9">
        <v>1</v>
      </c>
      <c r="J16" s="9" t="s">
        <v>27</v>
      </c>
      <c r="K16" s="9" t="s">
        <v>16</v>
      </c>
      <c r="L16" s="9">
        <v>34</v>
      </c>
      <c r="M16" s="9">
        <v>10</v>
      </c>
      <c r="N16" s="6">
        <v>24</v>
      </c>
    </row>
    <row r="17" spans="2:14">
      <c r="B17" s="5">
        <v>2008</v>
      </c>
      <c r="C17" s="14">
        <v>46271</v>
      </c>
      <c r="D17" s="9" t="s">
        <v>13</v>
      </c>
      <c r="E17" s="9">
        <v>18</v>
      </c>
      <c r="F17" s="9" t="s">
        <v>40</v>
      </c>
      <c r="G17" s="9">
        <v>0</v>
      </c>
      <c r="H17" s="9"/>
      <c r="I17" s="9">
        <v>1</v>
      </c>
      <c r="J17" s="9" t="s">
        <v>15</v>
      </c>
      <c r="K17" s="9" t="s">
        <v>16</v>
      </c>
      <c r="L17" s="9">
        <v>20</v>
      </c>
      <c r="M17" s="9">
        <v>6</v>
      </c>
      <c r="N17" s="6">
        <v>14</v>
      </c>
    </row>
    <row r="18" spans="2:14">
      <c r="B18" s="5">
        <v>2008</v>
      </c>
      <c r="C18" s="14">
        <v>46278</v>
      </c>
      <c r="D18" s="9" t="s">
        <v>13</v>
      </c>
      <c r="E18" s="9">
        <v>18</v>
      </c>
      <c r="F18" s="9" t="s">
        <v>41</v>
      </c>
      <c r="G18" s="9">
        <v>0</v>
      </c>
      <c r="H18" s="9"/>
      <c r="I18" s="9">
        <v>1</v>
      </c>
      <c r="J18" s="9" t="s">
        <v>15</v>
      </c>
      <c r="K18" s="9" t="s">
        <v>16</v>
      </c>
      <c r="L18" s="9">
        <v>41</v>
      </c>
      <c r="M18" s="9">
        <v>7</v>
      </c>
      <c r="N18" s="6">
        <v>34</v>
      </c>
    </row>
    <row r="19" spans="2:14">
      <c r="B19" s="5">
        <v>2008</v>
      </c>
      <c r="C19" s="14">
        <v>46285</v>
      </c>
      <c r="D19" s="9" t="s">
        <v>17</v>
      </c>
      <c r="E19" s="9">
        <v>11.5</v>
      </c>
      <c r="F19" s="9" t="s">
        <v>21</v>
      </c>
      <c r="G19" s="9">
        <v>0</v>
      </c>
      <c r="H19" s="9"/>
      <c r="I19" s="9">
        <v>0</v>
      </c>
      <c r="J19" s="9" t="s">
        <v>19</v>
      </c>
      <c r="K19" s="9" t="s">
        <v>16</v>
      </c>
      <c r="L19" s="9">
        <v>49</v>
      </c>
      <c r="M19" s="9">
        <v>14</v>
      </c>
      <c r="N19" s="6">
        <v>35</v>
      </c>
    </row>
    <row r="20" spans="2:14">
      <c r="B20" s="5">
        <v>2008</v>
      </c>
      <c r="C20" s="14">
        <v>46292</v>
      </c>
      <c r="D20" s="9" t="s">
        <v>22</v>
      </c>
      <c r="E20" s="9">
        <v>18.75</v>
      </c>
      <c r="F20" s="9" t="s">
        <v>23</v>
      </c>
      <c r="G20" s="9">
        <v>1</v>
      </c>
      <c r="H20" s="9">
        <v>3</v>
      </c>
      <c r="I20" s="9">
        <v>0</v>
      </c>
      <c r="J20" s="9" t="s">
        <v>19</v>
      </c>
      <c r="K20" s="9" t="s">
        <v>16</v>
      </c>
      <c r="L20" s="9">
        <v>41</v>
      </c>
      <c r="M20" s="9">
        <v>30</v>
      </c>
      <c r="N20" s="6">
        <v>11</v>
      </c>
    </row>
    <row r="21" spans="2:14">
      <c r="B21" s="5">
        <v>2008</v>
      </c>
      <c r="C21" s="14">
        <v>46299</v>
      </c>
      <c r="D21" s="9" t="s">
        <v>42</v>
      </c>
      <c r="E21" s="9">
        <v>14.5</v>
      </c>
      <c r="F21" s="9" t="s">
        <v>43</v>
      </c>
      <c r="G21" s="9">
        <v>0</v>
      </c>
      <c r="H21" s="9"/>
      <c r="I21" s="9">
        <v>0</v>
      </c>
      <c r="J21" s="9" t="s">
        <v>15</v>
      </c>
      <c r="K21" s="9" t="s">
        <v>16</v>
      </c>
      <c r="L21" s="9">
        <v>17</v>
      </c>
      <c r="M21" s="9">
        <v>14</v>
      </c>
      <c r="N21" s="6">
        <v>3</v>
      </c>
    </row>
    <row r="22" spans="2:14">
      <c r="B22" s="5">
        <v>2008</v>
      </c>
      <c r="C22" s="14">
        <v>46313</v>
      </c>
      <c r="D22" s="9" t="s">
        <v>42</v>
      </c>
      <c r="E22" s="9">
        <v>14.5</v>
      </c>
      <c r="F22" s="9" t="s">
        <v>30</v>
      </c>
      <c r="G22" s="9">
        <v>0</v>
      </c>
      <c r="H22" s="9"/>
      <c r="I22" s="9">
        <v>0</v>
      </c>
      <c r="J22" s="9" t="s">
        <v>15</v>
      </c>
      <c r="K22" s="9" t="s">
        <v>16</v>
      </c>
      <c r="L22" s="9">
        <v>24</v>
      </c>
      <c r="M22" s="9">
        <v>20</v>
      </c>
      <c r="N22" s="6">
        <v>4</v>
      </c>
    </row>
    <row r="23" spans="2:14">
      <c r="B23" s="5">
        <v>2008</v>
      </c>
      <c r="C23" s="14">
        <v>46320</v>
      </c>
      <c r="D23" s="9" t="s">
        <v>22</v>
      </c>
      <c r="E23" s="9">
        <v>18.75</v>
      </c>
      <c r="F23" s="9" t="s">
        <v>31</v>
      </c>
      <c r="G23" s="9">
        <v>0</v>
      </c>
      <c r="H23" s="9"/>
      <c r="I23" s="9">
        <v>0</v>
      </c>
      <c r="J23" s="9" t="s">
        <v>19</v>
      </c>
      <c r="K23" s="9" t="s">
        <v>16</v>
      </c>
      <c r="L23" s="9">
        <v>29</v>
      </c>
      <c r="M23" s="9">
        <v>9</v>
      </c>
      <c r="N23" s="6">
        <v>20</v>
      </c>
    </row>
    <row r="24" spans="2:14">
      <c r="B24" s="5">
        <v>2008</v>
      </c>
      <c r="C24" s="14">
        <v>46327</v>
      </c>
      <c r="D24" s="9" t="s">
        <v>28</v>
      </c>
      <c r="E24" s="9">
        <v>14</v>
      </c>
      <c r="F24" s="9" t="s">
        <v>44</v>
      </c>
      <c r="G24" s="9">
        <v>0</v>
      </c>
      <c r="H24" s="9"/>
      <c r="I24" s="9">
        <v>1</v>
      </c>
      <c r="J24" s="9" t="s">
        <v>15</v>
      </c>
      <c r="K24" s="9" t="s">
        <v>16</v>
      </c>
      <c r="L24" s="9">
        <v>35</v>
      </c>
      <c r="M24" s="9">
        <v>0</v>
      </c>
      <c r="N24" s="6">
        <v>35</v>
      </c>
    </row>
    <row r="25" spans="2:14">
      <c r="B25" s="5">
        <v>2008</v>
      </c>
      <c r="C25" s="14">
        <v>46334</v>
      </c>
      <c r="D25" s="9" t="s">
        <v>42</v>
      </c>
      <c r="E25" s="9">
        <v>14.5</v>
      </c>
      <c r="F25" s="9" t="s">
        <v>32</v>
      </c>
      <c r="G25" s="9">
        <v>1</v>
      </c>
      <c r="H25" s="9">
        <v>15</v>
      </c>
      <c r="I25" s="9">
        <v>0</v>
      </c>
      <c r="J25" s="9" t="s">
        <v>19</v>
      </c>
      <c r="K25" s="9" t="s">
        <v>16</v>
      </c>
      <c r="L25" s="9">
        <v>27</v>
      </c>
      <c r="M25" s="9">
        <v>21</v>
      </c>
      <c r="N25" s="6">
        <v>6</v>
      </c>
    </row>
    <row r="26" spans="2:14">
      <c r="B26" s="5">
        <v>2008</v>
      </c>
      <c r="C26" s="14">
        <v>46341</v>
      </c>
      <c r="D26" s="9" t="s">
        <v>22</v>
      </c>
      <c r="E26" s="9">
        <v>18.75</v>
      </c>
      <c r="F26" s="9" t="s">
        <v>33</v>
      </c>
      <c r="G26" s="9">
        <v>0</v>
      </c>
      <c r="H26" s="9"/>
      <c r="I26" s="9">
        <v>0</v>
      </c>
      <c r="J26" s="9" t="s">
        <v>15</v>
      </c>
      <c r="K26" s="9" t="s">
        <v>16</v>
      </c>
      <c r="L26" s="9">
        <v>32</v>
      </c>
      <c r="M26" s="9">
        <v>7</v>
      </c>
      <c r="N26" s="6">
        <v>25</v>
      </c>
    </row>
    <row r="27" spans="2:14">
      <c r="B27" s="5">
        <v>2008</v>
      </c>
      <c r="C27" s="14">
        <v>46355</v>
      </c>
      <c r="D27" s="9" t="s">
        <v>42</v>
      </c>
      <c r="E27" s="9">
        <v>14.5</v>
      </c>
      <c r="F27" s="9" t="s">
        <v>37</v>
      </c>
      <c r="G27" s="9">
        <v>0</v>
      </c>
      <c r="H27" s="9"/>
      <c r="I27" s="9">
        <v>0</v>
      </c>
      <c r="J27" s="9" t="s">
        <v>15</v>
      </c>
      <c r="K27" s="9" t="s">
        <v>16</v>
      </c>
      <c r="L27" s="9">
        <v>36</v>
      </c>
      <c r="M27" s="9">
        <v>0</v>
      </c>
      <c r="N27" s="6">
        <v>36</v>
      </c>
    </row>
    <row r="28" spans="2:14">
      <c r="B28" s="5">
        <v>2008</v>
      </c>
      <c r="C28" s="14">
        <v>46362</v>
      </c>
      <c r="D28" s="9" t="s">
        <v>45</v>
      </c>
      <c r="E28" s="9">
        <v>15</v>
      </c>
      <c r="F28" s="9" t="s">
        <v>46</v>
      </c>
      <c r="G28" s="9">
        <v>1</v>
      </c>
      <c r="H28" s="9">
        <v>2</v>
      </c>
      <c r="I28" s="9">
        <v>0</v>
      </c>
      <c r="J28" s="9" t="s">
        <v>27</v>
      </c>
      <c r="K28" s="9" t="s">
        <v>24</v>
      </c>
      <c r="L28" s="9">
        <v>20</v>
      </c>
      <c r="M28" s="9">
        <v>31</v>
      </c>
      <c r="N28" s="6">
        <v>-11</v>
      </c>
    </row>
    <row r="29" spans="2:14">
      <c r="B29" s="5">
        <v>2008</v>
      </c>
      <c r="C29" s="15">
        <v>39815</v>
      </c>
      <c r="D29" s="9" t="s">
        <v>36</v>
      </c>
      <c r="E29" s="9">
        <v>19</v>
      </c>
      <c r="F29" s="9" t="s">
        <v>47</v>
      </c>
      <c r="G29" s="9">
        <v>1</v>
      </c>
      <c r="H29" s="9">
        <v>7</v>
      </c>
      <c r="I29" s="9">
        <v>1</v>
      </c>
      <c r="J29" s="9" t="s">
        <v>27</v>
      </c>
      <c r="K29" s="9" t="s">
        <v>24</v>
      </c>
      <c r="L29" s="9">
        <v>17</v>
      </c>
      <c r="M29" s="9">
        <v>31</v>
      </c>
      <c r="N29" s="6">
        <v>-14</v>
      </c>
    </row>
    <row r="30" spans="2:14">
      <c r="B30" s="5">
        <v>2009</v>
      </c>
      <c r="C30" s="14">
        <v>46270</v>
      </c>
      <c r="D30" s="9" t="s">
        <v>48</v>
      </c>
      <c r="E30" s="9">
        <v>19.1666666666666</v>
      </c>
      <c r="F30" s="9" t="s">
        <v>49</v>
      </c>
      <c r="G30" s="9">
        <v>1</v>
      </c>
      <c r="H30" s="9">
        <v>7</v>
      </c>
      <c r="I30" s="9">
        <v>1</v>
      </c>
      <c r="J30" s="9" t="s">
        <v>27</v>
      </c>
      <c r="K30" s="9" t="s">
        <v>16</v>
      </c>
      <c r="L30" s="9">
        <v>34</v>
      </c>
      <c r="M30" s="9">
        <v>24</v>
      </c>
      <c r="N30" s="6">
        <v>10</v>
      </c>
    </row>
    <row r="31" spans="2:14">
      <c r="B31" s="5">
        <v>2009</v>
      </c>
      <c r="C31" s="14">
        <v>46277</v>
      </c>
      <c r="D31" s="9" t="s">
        <v>50</v>
      </c>
      <c r="E31" s="9">
        <v>18.1166666666666</v>
      </c>
      <c r="F31" s="9" t="s">
        <v>51</v>
      </c>
      <c r="G31" s="9">
        <v>0</v>
      </c>
      <c r="H31" s="9"/>
      <c r="I31" s="9">
        <v>1</v>
      </c>
      <c r="J31" s="9" t="s">
        <v>15</v>
      </c>
      <c r="K31" s="9" t="s">
        <v>16</v>
      </c>
      <c r="L31" s="9">
        <v>40</v>
      </c>
      <c r="M31" s="9">
        <v>14</v>
      </c>
      <c r="N31" s="6">
        <v>26</v>
      </c>
    </row>
    <row r="32" spans="2:14">
      <c r="B32" s="5">
        <v>2009</v>
      </c>
      <c r="C32" s="14">
        <v>46284</v>
      </c>
      <c r="D32" s="9" t="s">
        <v>52</v>
      </c>
      <c r="E32" s="9">
        <v>11.35</v>
      </c>
      <c r="F32" s="9" t="s">
        <v>53</v>
      </c>
      <c r="G32" s="9">
        <v>0</v>
      </c>
      <c r="H32" s="9"/>
      <c r="I32" s="9">
        <v>1</v>
      </c>
      <c r="J32" s="9" t="s">
        <v>15</v>
      </c>
      <c r="K32" s="9" t="s">
        <v>16</v>
      </c>
      <c r="L32" s="9">
        <v>53</v>
      </c>
      <c r="M32" s="9">
        <v>7</v>
      </c>
      <c r="N32" s="6">
        <v>46</v>
      </c>
    </row>
    <row r="33" spans="2:14">
      <c r="B33" s="5">
        <v>2009</v>
      </c>
      <c r="C33" s="14">
        <v>46291</v>
      </c>
      <c r="D33" s="9" t="s">
        <v>42</v>
      </c>
      <c r="E33" s="9">
        <v>14.5</v>
      </c>
      <c r="F33" s="9" t="s">
        <v>21</v>
      </c>
      <c r="G33" s="9">
        <v>0</v>
      </c>
      <c r="H33" s="9"/>
      <c r="I33" s="9">
        <v>0</v>
      </c>
      <c r="J33" s="9" t="s">
        <v>15</v>
      </c>
      <c r="K33" s="9" t="s">
        <v>16</v>
      </c>
      <c r="L33" s="9">
        <v>35</v>
      </c>
      <c r="M33" s="9">
        <v>7</v>
      </c>
      <c r="N33" s="6">
        <v>28</v>
      </c>
    </row>
    <row r="34" spans="2:14">
      <c r="B34" s="5">
        <v>2009</v>
      </c>
      <c r="C34" s="14">
        <v>46298</v>
      </c>
      <c r="D34" s="9" t="s">
        <v>52</v>
      </c>
      <c r="E34" s="9">
        <v>11.35</v>
      </c>
      <c r="F34" s="9" t="s">
        <v>43</v>
      </c>
      <c r="G34" s="9">
        <v>0</v>
      </c>
      <c r="H34" s="9"/>
      <c r="I34" s="9">
        <v>0</v>
      </c>
      <c r="J34" s="9" t="s">
        <v>19</v>
      </c>
      <c r="K34" s="9" t="s">
        <v>16</v>
      </c>
      <c r="L34" s="9">
        <v>38</v>
      </c>
      <c r="M34" s="9">
        <v>20</v>
      </c>
      <c r="N34" s="6">
        <v>18</v>
      </c>
    </row>
    <row r="35" spans="2:14">
      <c r="B35" s="5">
        <v>2009</v>
      </c>
      <c r="C35" s="14">
        <v>46305</v>
      </c>
      <c r="D35" s="9" t="s">
        <v>42</v>
      </c>
      <c r="E35" s="9">
        <v>14.5</v>
      </c>
      <c r="F35" s="9" t="s">
        <v>30</v>
      </c>
      <c r="G35" s="9">
        <v>1</v>
      </c>
      <c r="H35" s="9">
        <v>20</v>
      </c>
      <c r="I35" s="9">
        <v>0</v>
      </c>
      <c r="J35" s="9" t="s">
        <v>19</v>
      </c>
      <c r="K35" s="9" t="s">
        <v>16</v>
      </c>
      <c r="L35" s="9">
        <v>22</v>
      </c>
      <c r="M35" s="9">
        <v>3</v>
      </c>
      <c r="N35" s="6">
        <v>19</v>
      </c>
    </row>
    <row r="36" spans="2:14">
      <c r="B36" s="5">
        <v>2009</v>
      </c>
      <c r="C36" s="14">
        <v>46312</v>
      </c>
      <c r="D36" s="9" t="s">
        <v>22</v>
      </c>
      <c r="E36" s="9">
        <v>18.75</v>
      </c>
      <c r="F36" s="9" t="s">
        <v>54</v>
      </c>
      <c r="G36" s="9">
        <v>1</v>
      </c>
      <c r="H36" s="9">
        <v>22</v>
      </c>
      <c r="I36" s="9">
        <v>0</v>
      </c>
      <c r="J36" s="9" t="s">
        <v>15</v>
      </c>
      <c r="K36" s="9" t="s">
        <v>16</v>
      </c>
      <c r="L36" s="9">
        <v>20</v>
      </c>
      <c r="M36" s="9">
        <v>6</v>
      </c>
      <c r="N36" s="6">
        <v>14</v>
      </c>
    </row>
    <row r="37" spans="2:14">
      <c r="B37" s="5">
        <v>2009</v>
      </c>
      <c r="C37" s="14">
        <v>46319</v>
      </c>
      <c r="D37" s="9" t="s">
        <v>42</v>
      </c>
      <c r="E37" s="9">
        <v>14.5</v>
      </c>
      <c r="F37" s="9" t="s">
        <v>31</v>
      </c>
      <c r="G37" s="9">
        <v>0</v>
      </c>
      <c r="H37" s="9"/>
      <c r="I37" s="9">
        <v>0</v>
      </c>
      <c r="J37" s="9" t="s">
        <v>15</v>
      </c>
      <c r="K37" s="9" t="s">
        <v>16</v>
      </c>
      <c r="L37" s="9">
        <v>12</v>
      </c>
      <c r="M37" s="9">
        <v>10</v>
      </c>
      <c r="N37" s="6">
        <v>2</v>
      </c>
    </row>
    <row r="38" spans="2:14">
      <c r="B38" s="5">
        <v>2009</v>
      </c>
      <c r="C38" s="14">
        <v>46333</v>
      </c>
      <c r="D38" s="9" t="s">
        <v>42</v>
      </c>
      <c r="E38" s="9">
        <v>14.5</v>
      </c>
      <c r="F38" s="9" t="s">
        <v>32</v>
      </c>
      <c r="G38" s="9">
        <v>1</v>
      </c>
      <c r="H38" s="9">
        <v>9</v>
      </c>
      <c r="I38" s="9">
        <v>0</v>
      </c>
      <c r="J38" s="9" t="s">
        <v>15</v>
      </c>
      <c r="K38" s="9" t="s">
        <v>16</v>
      </c>
      <c r="L38" s="9">
        <v>24</v>
      </c>
      <c r="M38" s="9">
        <v>15</v>
      </c>
      <c r="N38" s="6">
        <v>9</v>
      </c>
    </row>
    <row r="39" spans="2:14">
      <c r="B39" s="5">
        <v>2009</v>
      </c>
      <c r="C39" s="14">
        <v>46340</v>
      </c>
      <c r="D39" s="9" t="s">
        <v>13</v>
      </c>
      <c r="E39" s="9">
        <v>18</v>
      </c>
      <c r="F39" s="9" t="s">
        <v>33</v>
      </c>
      <c r="G39" s="9">
        <v>0</v>
      </c>
      <c r="H39" s="9"/>
      <c r="I39" s="9">
        <v>0</v>
      </c>
      <c r="J39" s="9" t="s">
        <v>19</v>
      </c>
      <c r="K39" s="9" t="s">
        <v>16</v>
      </c>
      <c r="L39" s="9">
        <v>31</v>
      </c>
      <c r="M39" s="9">
        <v>3</v>
      </c>
      <c r="N39" s="6">
        <v>28</v>
      </c>
    </row>
    <row r="40" spans="2:14">
      <c r="B40" s="5">
        <v>2009</v>
      </c>
      <c r="C40" s="14">
        <v>46347</v>
      </c>
      <c r="D40" s="9" t="s">
        <v>52</v>
      </c>
      <c r="E40" s="9">
        <v>11.35</v>
      </c>
      <c r="F40" s="9" t="s">
        <v>55</v>
      </c>
      <c r="G40" s="9">
        <v>0</v>
      </c>
      <c r="H40" s="9"/>
      <c r="I40" s="9">
        <v>1</v>
      </c>
      <c r="J40" s="9" t="s">
        <v>15</v>
      </c>
      <c r="K40" s="9" t="s">
        <v>16</v>
      </c>
      <c r="L40" s="9">
        <v>45</v>
      </c>
      <c r="M40" s="9">
        <v>0</v>
      </c>
      <c r="N40" s="6">
        <v>45</v>
      </c>
    </row>
    <row r="41" spans="2:14">
      <c r="B41" s="5">
        <v>2009</v>
      </c>
      <c r="C41" s="14">
        <v>46353</v>
      </c>
      <c r="D41" s="9" t="s">
        <v>34</v>
      </c>
      <c r="E41" s="9">
        <v>13.5</v>
      </c>
      <c r="F41" s="9" t="s">
        <v>37</v>
      </c>
      <c r="G41" s="9">
        <v>0</v>
      </c>
      <c r="H41" s="9"/>
      <c r="I41" s="9">
        <v>0</v>
      </c>
      <c r="J41" s="9" t="s">
        <v>19</v>
      </c>
      <c r="K41" s="9" t="s">
        <v>16</v>
      </c>
      <c r="L41" s="9">
        <v>26</v>
      </c>
      <c r="M41" s="9">
        <v>21</v>
      </c>
      <c r="N41" s="6">
        <v>5</v>
      </c>
    </row>
    <row r="42" spans="2:14">
      <c r="B42" s="5">
        <v>2009</v>
      </c>
      <c r="C42" s="14">
        <v>46361</v>
      </c>
      <c r="D42" s="9" t="s">
        <v>45</v>
      </c>
      <c r="E42" s="9">
        <v>15</v>
      </c>
      <c r="F42" s="9" t="s">
        <v>46</v>
      </c>
      <c r="G42" s="9">
        <v>1</v>
      </c>
      <c r="H42" s="9">
        <v>1</v>
      </c>
      <c r="I42" s="9">
        <v>0</v>
      </c>
      <c r="J42" s="9" t="s">
        <v>27</v>
      </c>
      <c r="K42" s="9" t="s">
        <v>16</v>
      </c>
      <c r="L42" s="9">
        <v>32</v>
      </c>
      <c r="M42" s="9">
        <v>13</v>
      </c>
      <c r="N42" s="6">
        <v>19</v>
      </c>
    </row>
    <row r="43" spans="2:14">
      <c r="B43" s="5">
        <v>2009</v>
      </c>
      <c r="C43" s="15">
        <v>40185</v>
      </c>
      <c r="D43" s="9" t="s">
        <v>56</v>
      </c>
      <c r="E43" s="9">
        <v>19.649999999999999</v>
      </c>
      <c r="F43" s="9" t="s">
        <v>57</v>
      </c>
      <c r="G43" s="9">
        <v>1</v>
      </c>
      <c r="H43" s="9">
        <v>2</v>
      </c>
      <c r="I43" s="9">
        <v>1</v>
      </c>
      <c r="J43" s="9" t="s">
        <v>27</v>
      </c>
      <c r="K43" s="9" t="s">
        <v>16</v>
      </c>
      <c r="L43" s="9">
        <v>37</v>
      </c>
      <c r="M43" s="9">
        <v>21</v>
      </c>
      <c r="N43" s="6">
        <v>16</v>
      </c>
    </row>
    <row r="44" spans="2:14">
      <c r="B44" s="5">
        <v>2010</v>
      </c>
      <c r="C44" s="14">
        <v>46269</v>
      </c>
      <c r="D44" s="9" t="s">
        <v>13</v>
      </c>
      <c r="E44" s="9">
        <v>18</v>
      </c>
      <c r="F44" s="9" t="s">
        <v>58</v>
      </c>
      <c r="G44" s="9">
        <v>0</v>
      </c>
      <c r="H44" s="9"/>
      <c r="I44" s="9">
        <v>1</v>
      </c>
      <c r="J44" s="9" t="s">
        <v>15</v>
      </c>
      <c r="K44" s="9" t="s">
        <v>16</v>
      </c>
      <c r="L44" s="9">
        <v>48</v>
      </c>
      <c r="M44" s="9">
        <v>3</v>
      </c>
      <c r="N44" s="6">
        <v>45</v>
      </c>
    </row>
    <row r="45" spans="2:14">
      <c r="B45" s="5">
        <v>2010</v>
      </c>
      <c r="C45" s="14">
        <v>46276</v>
      </c>
      <c r="D45" s="9" t="s">
        <v>13</v>
      </c>
      <c r="E45" s="9">
        <v>18</v>
      </c>
      <c r="F45" s="9" t="s">
        <v>59</v>
      </c>
      <c r="G45" s="9">
        <v>1</v>
      </c>
      <c r="H45" s="9">
        <v>18</v>
      </c>
      <c r="I45" s="9">
        <v>1</v>
      </c>
      <c r="J45" s="9" t="s">
        <v>15</v>
      </c>
      <c r="K45" s="9" t="s">
        <v>16</v>
      </c>
      <c r="L45" s="9">
        <v>24</v>
      </c>
      <c r="M45" s="9">
        <v>3</v>
      </c>
      <c r="N45" s="6">
        <v>21</v>
      </c>
    </row>
    <row r="46" spans="2:14">
      <c r="B46" s="5">
        <v>2010</v>
      </c>
      <c r="C46" s="14">
        <v>46283</v>
      </c>
      <c r="D46" s="9" t="s">
        <v>42</v>
      </c>
      <c r="E46" s="9">
        <v>14.5</v>
      </c>
      <c r="F46" s="9" t="s">
        <v>60</v>
      </c>
      <c r="G46" s="9">
        <v>0</v>
      </c>
      <c r="H46" s="9"/>
      <c r="I46" s="9">
        <v>1</v>
      </c>
      <c r="J46" s="9" t="s">
        <v>19</v>
      </c>
      <c r="K46" s="9" t="s">
        <v>16</v>
      </c>
      <c r="L46" s="9">
        <v>62</v>
      </c>
      <c r="M46" s="9">
        <v>13</v>
      </c>
      <c r="N46" s="6">
        <v>49</v>
      </c>
    </row>
    <row r="47" spans="2:14">
      <c r="B47" s="5">
        <v>2010</v>
      </c>
      <c r="C47" s="14">
        <v>46290</v>
      </c>
      <c r="D47" s="9" t="s">
        <v>42</v>
      </c>
      <c r="E47" s="9">
        <v>14.5</v>
      </c>
      <c r="F47" s="9" t="s">
        <v>21</v>
      </c>
      <c r="G47" s="9">
        <v>1</v>
      </c>
      <c r="H47" s="9">
        <v>10</v>
      </c>
      <c r="I47" s="9">
        <v>0</v>
      </c>
      <c r="J47" s="9" t="s">
        <v>19</v>
      </c>
      <c r="K47" s="9" t="s">
        <v>16</v>
      </c>
      <c r="L47" s="9">
        <v>24</v>
      </c>
      <c r="M47" s="9">
        <v>20</v>
      </c>
      <c r="N47" s="6">
        <v>4</v>
      </c>
    </row>
    <row r="48" spans="2:14">
      <c r="B48" s="5">
        <v>2010</v>
      </c>
      <c r="C48" s="14">
        <v>46297</v>
      </c>
      <c r="D48" s="9" t="s">
        <v>36</v>
      </c>
      <c r="E48" s="9">
        <v>19</v>
      </c>
      <c r="F48" s="9" t="s">
        <v>46</v>
      </c>
      <c r="G48" s="9">
        <v>1</v>
      </c>
      <c r="H48" s="9">
        <v>7</v>
      </c>
      <c r="I48" s="9">
        <v>0</v>
      </c>
      <c r="J48" s="9" t="s">
        <v>15</v>
      </c>
      <c r="K48" s="9" t="s">
        <v>16</v>
      </c>
      <c r="L48" s="9">
        <v>31</v>
      </c>
      <c r="M48" s="9">
        <v>6</v>
      </c>
      <c r="N48" s="6">
        <v>25</v>
      </c>
    </row>
    <row r="49" spans="2:14">
      <c r="B49" s="5">
        <v>2010</v>
      </c>
      <c r="C49" s="14">
        <v>46304</v>
      </c>
      <c r="D49" s="9" t="s">
        <v>42</v>
      </c>
      <c r="E49" s="9">
        <v>14.5</v>
      </c>
      <c r="F49" s="9" t="s">
        <v>54</v>
      </c>
      <c r="G49" s="9">
        <v>1</v>
      </c>
      <c r="H49" s="9">
        <v>19</v>
      </c>
      <c r="I49" s="9">
        <v>0</v>
      </c>
      <c r="J49" s="9" t="s">
        <v>19</v>
      </c>
      <c r="K49" s="9" t="s">
        <v>24</v>
      </c>
      <c r="L49" s="9">
        <v>21</v>
      </c>
      <c r="M49" s="9">
        <v>35</v>
      </c>
      <c r="N49" s="6">
        <v>-14</v>
      </c>
    </row>
    <row r="50" spans="2:14">
      <c r="B50" s="5">
        <v>2010</v>
      </c>
      <c r="C50" s="14">
        <v>46311</v>
      </c>
      <c r="D50" s="9" t="s">
        <v>61</v>
      </c>
      <c r="E50" s="9">
        <v>20.25</v>
      </c>
      <c r="F50" s="9" t="s">
        <v>30</v>
      </c>
      <c r="G50" s="9">
        <v>0</v>
      </c>
      <c r="H50" s="9"/>
      <c r="I50" s="9">
        <v>0</v>
      </c>
      <c r="J50" s="9" t="s">
        <v>15</v>
      </c>
      <c r="K50" s="9" t="s">
        <v>16</v>
      </c>
      <c r="L50" s="9">
        <v>23</v>
      </c>
      <c r="M50" s="9">
        <v>10</v>
      </c>
      <c r="N50" s="6">
        <v>13</v>
      </c>
    </row>
    <row r="51" spans="2:14">
      <c r="B51" s="5">
        <v>2010</v>
      </c>
      <c r="C51" s="14">
        <v>46318</v>
      </c>
      <c r="D51" s="9" t="s">
        <v>13</v>
      </c>
      <c r="E51" s="9">
        <v>18</v>
      </c>
      <c r="F51" s="9" t="s">
        <v>31</v>
      </c>
      <c r="G51" s="9">
        <v>0</v>
      </c>
      <c r="H51" s="9"/>
      <c r="I51" s="9">
        <v>0</v>
      </c>
      <c r="J51" s="9" t="s">
        <v>19</v>
      </c>
      <c r="K51" s="9" t="s">
        <v>16</v>
      </c>
      <c r="L51" s="9">
        <v>41</v>
      </c>
      <c r="M51" s="9">
        <v>10</v>
      </c>
      <c r="N51" s="6">
        <v>31</v>
      </c>
    </row>
    <row r="52" spans="2:14">
      <c r="B52" s="5">
        <v>2010</v>
      </c>
      <c r="C52" s="14">
        <v>46332</v>
      </c>
      <c r="D52" s="9" t="s">
        <v>42</v>
      </c>
      <c r="E52" s="9">
        <v>14.5</v>
      </c>
      <c r="F52" s="9" t="s">
        <v>32</v>
      </c>
      <c r="G52" s="9">
        <v>1</v>
      </c>
      <c r="H52" s="9">
        <v>10</v>
      </c>
      <c r="I52" s="9">
        <v>0</v>
      </c>
      <c r="J52" s="9" t="s">
        <v>19</v>
      </c>
      <c r="K52" s="9" t="s">
        <v>24</v>
      </c>
      <c r="L52" s="9">
        <v>21</v>
      </c>
      <c r="M52" s="9">
        <v>24</v>
      </c>
      <c r="N52" s="6">
        <v>-3</v>
      </c>
    </row>
    <row r="53" spans="2:14">
      <c r="B53" s="5">
        <v>2010</v>
      </c>
      <c r="C53" s="14">
        <v>46339</v>
      </c>
      <c r="D53" s="9" t="s">
        <v>62</v>
      </c>
      <c r="E53" s="9">
        <v>18.25</v>
      </c>
      <c r="F53" s="9" t="s">
        <v>33</v>
      </c>
      <c r="G53" s="9">
        <v>1</v>
      </c>
      <c r="H53" s="9">
        <v>17</v>
      </c>
      <c r="I53" s="9">
        <v>0</v>
      </c>
      <c r="J53" s="9" t="s">
        <v>15</v>
      </c>
      <c r="K53" s="9" t="s">
        <v>16</v>
      </c>
      <c r="L53" s="9">
        <v>30</v>
      </c>
      <c r="M53" s="9">
        <v>10</v>
      </c>
      <c r="N53" s="6">
        <v>20</v>
      </c>
    </row>
    <row r="54" spans="2:14">
      <c r="B54" s="5">
        <v>2010</v>
      </c>
      <c r="C54" s="14">
        <v>46344</v>
      </c>
      <c r="D54" s="9" t="s">
        <v>63</v>
      </c>
      <c r="E54" s="9">
        <v>18.5</v>
      </c>
      <c r="F54" s="9" t="s">
        <v>64</v>
      </c>
      <c r="G54" s="9">
        <v>0</v>
      </c>
      <c r="H54" s="9"/>
      <c r="I54" s="9">
        <v>1</v>
      </c>
      <c r="J54" s="9" t="s">
        <v>15</v>
      </c>
      <c r="K54" s="9" t="s">
        <v>16</v>
      </c>
      <c r="L54" s="9">
        <v>63</v>
      </c>
      <c r="M54" s="9">
        <v>7</v>
      </c>
      <c r="N54" s="6">
        <v>56</v>
      </c>
    </row>
    <row r="55" spans="2:14">
      <c r="B55" s="5">
        <v>2010</v>
      </c>
      <c r="C55" s="14">
        <v>46352</v>
      </c>
      <c r="D55" s="9" t="s">
        <v>34</v>
      </c>
      <c r="E55" s="9">
        <v>13.5</v>
      </c>
      <c r="F55" s="9" t="s">
        <v>37</v>
      </c>
      <c r="G55" s="9">
        <v>1</v>
      </c>
      <c r="H55" s="9">
        <v>2</v>
      </c>
      <c r="I55" s="9">
        <v>0</v>
      </c>
      <c r="J55" s="9" t="s">
        <v>15</v>
      </c>
      <c r="K55" s="9" t="s">
        <v>24</v>
      </c>
      <c r="L55" s="9">
        <v>27</v>
      </c>
      <c r="M55" s="9">
        <v>28</v>
      </c>
      <c r="N55" s="6">
        <v>-1</v>
      </c>
    </row>
    <row r="56" spans="2:14">
      <c r="B56" s="5">
        <v>2010</v>
      </c>
      <c r="C56" s="15">
        <v>40544</v>
      </c>
      <c r="D56" s="9" t="s">
        <v>65</v>
      </c>
      <c r="E56" s="9">
        <v>12</v>
      </c>
      <c r="F56" s="9" t="s">
        <v>66</v>
      </c>
      <c r="G56" s="9">
        <v>1</v>
      </c>
      <c r="H56" s="9">
        <v>7</v>
      </c>
      <c r="I56" s="9">
        <v>1</v>
      </c>
      <c r="J56" s="9" t="s">
        <v>27</v>
      </c>
      <c r="K56" s="9" t="s">
        <v>16</v>
      </c>
      <c r="L56" s="9">
        <v>49</v>
      </c>
      <c r="M56" s="9">
        <v>7</v>
      </c>
      <c r="N56" s="6">
        <v>42</v>
      </c>
    </row>
    <row r="57" spans="2:14">
      <c r="B57" s="5">
        <v>2011</v>
      </c>
      <c r="C57" s="14">
        <v>46268</v>
      </c>
      <c r="D57" s="9" t="s">
        <v>52</v>
      </c>
      <c r="E57" s="9">
        <v>11.35</v>
      </c>
      <c r="F57" s="9" t="s">
        <v>67</v>
      </c>
      <c r="G57" s="9">
        <v>0</v>
      </c>
      <c r="H57" s="9"/>
      <c r="I57" s="9">
        <v>1</v>
      </c>
      <c r="J57" s="9" t="s">
        <v>15</v>
      </c>
      <c r="K57" s="9" t="s">
        <v>16</v>
      </c>
      <c r="L57" s="9">
        <v>48</v>
      </c>
      <c r="M57" s="9">
        <v>7</v>
      </c>
      <c r="N57" s="6">
        <v>41</v>
      </c>
    </row>
    <row r="58" spans="2:14">
      <c r="B58" s="5">
        <v>2011</v>
      </c>
      <c r="C58" s="14">
        <v>46275</v>
      </c>
      <c r="D58" s="9" t="s">
        <v>42</v>
      </c>
      <c r="E58" s="9">
        <v>14.5</v>
      </c>
      <c r="F58" s="9" t="s">
        <v>59</v>
      </c>
      <c r="G58" s="9">
        <v>1</v>
      </c>
      <c r="H58" s="9">
        <v>23</v>
      </c>
      <c r="I58" s="9">
        <v>1</v>
      </c>
      <c r="J58" s="9" t="s">
        <v>19</v>
      </c>
      <c r="K58" s="9" t="s">
        <v>16</v>
      </c>
      <c r="L58" s="9">
        <v>27</v>
      </c>
      <c r="M58" s="9">
        <v>11</v>
      </c>
      <c r="N58" s="6">
        <v>16</v>
      </c>
    </row>
    <row r="59" spans="2:14">
      <c r="B59" s="5">
        <v>2011</v>
      </c>
      <c r="C59" s="14">
        <v>46282</v>
      </c>
      <c r="D59" s="9" t="s">
        <v>63</v>
      </c>
      <c r="E59" s="9">
        <v>18.5</v>
      </c>
      <c r="F59" s="9" t="s">
        <v>53</v>
      </c>
      <c r="G59" s="9">
        <v>0</v>
      </c>
      <c r="H59" s="9"/>
      <c r="I59" s="9">
        <v>1</v>
      </c>
      <c r="J59" s="9" t="s">
        <v>15</v>
      </c>
      <c r="K59" s="9" t="s">
        <v>16</v>
      </c>
      <c r="L59" s="9">
        <v>41</v>
      </c>
      <c r="M59" s="9">
        <v>0</v>
      </c>
      <c r="N59" s="6">
        <v>41</v>
      </c>
    </row>
    <row r="60" spans="2:14">
      <c r="B60" s="5">
        <v>2011</v>
      </c>
      <c r="C60" s="14">
        <v>46289</v>
      </c>
      <c r="D60" s="9" t="s">
        <v>42</v>
      </c>
      <c r="E60" s="9">
        <v>14.5</v>
      </c>
      <c r="F60" s="9" t="s">
        <v>21</v>
      </c>
      <c r="G60" s="9">
        <v>1</v>
      </c>
      <c r="H60" s="9">
        <v>14</v>
      </c>
      <c r="I60" s="9">
        <v>0</v>
      </c>
      <c r="J60" s="9" t="s">
        <v>15</v>
      </c>
      <c r="K60" s="9" t="s">
        <v>16</v>
      </c>
      <c r="L60" s="9">
        <v>38</v>
      </c>
      <c r="M60" s="9">
        <v>14</v>
      </c>
      <c r="N60" s="6">
        <v>24</v>
      </c>
    </row>
    <row r="61" spans="2:14">
      <c r="B61" s="5">
        <v>2011</v>
      </c>
      <c r="C61" s="14">
        <v>46296</v>
      </c>
      <c r="D61" s="9" t="s">
        <v>36</v>
      </c>
      <c r="E61" s="9">
        <v>19</v>
      </c>
      <c r="F61" s="9" t="s">
        <v>46</v>
      </c>
      <c r="G61" s="9">
        <v>1</v>
      </c>
      <c r="H61" s="9">
        <v>12</v>
      </c>
      <c r="I61" s="9">
        <v>0</v>
      </c>
      <c r="J61" s="9" t="s">
        <v>19</v>
      </c>
      <c r="K61" s="9" t="s">
        <v>16</v>
      </c>
      <c r="L61" s="9">
        <v>38</v>
      </c>
      <c r="M61" s="9">
        <v>10</v>
      </c>
      <c r="N61" s="6">
        <v>28</v>
      </c>
    </row>
    <row r="62" spans="2:14">
      <c r="B62" s="5">
        <v>2011</v>
      </c>
      <c r="C62" s="14">
        <v>46303</v>
      </c>
      <c r="D62" s="9" t="s">
        <v>13</v>
      </c>
      <c r="E62" s="9">
        <v>18</v>
      </c>
      <c r="F62" s="9" t="s">
        <v>18</v>
      </c>
      <c r="G62" s="9">
        <v>0</v>
      </c>
      <c r="H62" s="9"/>
      <c r="I62" s="9">
        <v>0</v>
      </c>
      <c r="J62" s="9" t="s">
        <v>15</v>
      </c>
      <c r="K62" s="9" t="s">
        <v>16</v>
      </c>
      <c r="L62" s="9">
        <v>34</v>
      </c>
      <c r="M62" s="9">
        <v>0</v>
      </c>
      <c r="N62" s="6">
        <v>34</v>
      </c>
    </row>
    <row r="63" spans="2:14">
      <c r="B63" s="5">
        <v>2011</v>
      </c>
      <c r="C63" s="14">
        <v>46310</v>
      </c>
      <c r="D63" s="9" t="s">
        <v>68</v>
      </c>
      <c r="E63" s="9">
        <v>17</v>
      </c>
      <c r="F63" s="9" t="s">
        <v>30</v>
      </c>
      <c r="G63" s="9">
        <v>0</v>
      </c>
      <c r="H63" s="9"/>
      <c r="I63" s="9">
        <v>0</v>
      </c>
      <c r="J63" s="9" t="s">
        <v>19</v>
      </c>
      <c r="K63" s="9" t="s">
        <v>16</v>
      </c>
      <c r="L63" s="9">
        <v>52</v>
      </c>
      <c r="M63" s="9">
        <v>7</v>
      </c>
      <c r="N63" s="6">
        <v>45</v>
      </c>
    </row>
    <row r="64" spans="2:14">
      <c r="B64" s="5">
        <v>2011</v>
      </c>
      <c r="C64" s="14">
        <v>46317</v>
      </c>
      <c r="D64" s="9" t="s">
        <v>13</v>
      </c>
      <c r="E64" s="9">
        <v>18</v>
      </c>
      <c r="F64" s="9" t="s">
        <v>31</v>
      </c>
      <c r="G64" s="9">
        <v>0</v>
      </c>
      <c r="H64" s="9"/>
      <c r="I64" s="9">
        <v>0</v>
      </c>
      <c r="J64" s="9" t="s">
        <v>15</v>
      </c>
      <c r="K64" s="9" t="s">
        <v>16</v>
      </c>
      <c r="L64" s="9">
        <v>37</v>
      </c>
      <c r="M64" s="9">
        <v>6</v>
      </c>
      <c r="N64" s="6">
        <v>31</v>
      </c>
    </row>
    <row r="65" spans="2:14">
      <c r="B65" s="5">
        <v>2011</v>
      </c>
      <c r="C65" s="14">
        <v>46331</v>
      </c>
      <c r="D65" s="9" t="s">
        <v>36</v>
      </c>
      <c r="E65" s="9">
        <v>19</v>
      </c>
      <c r="F65" s="9" t="s">
        <v>32</v>
      </c>
      <c r="G65" s="9">
        <v>1</v>
      </c>
      <c r="H65" s="9">
        <v>1</v>
      </c>
      <c r="I65" s="9">
        <v>0</v>
      </c>
      <c r="J65" s="9" t="s">
        <v>15</v>
      </c>
      <c r="K65" s="9" t="s">
        <v>24</v>
      </c>
      <c r="L65" s="9">
        <v>6</v>
      </c>
      <c r="M65" s="9">
        <v>9</v>
      </c>
      <c r="N65" s="6">
        <v>-3</v>
      </c>
    </row>
    <row r="66" spans="2:14">
      <c r="B66" s="5">
        <v>2011</v>
      </c>
      <c r="C66" s="14">
        <v>46338</v>
      </c>
      <c r="D66" s="9" t="s">
        <v>22</v>
      </c>
      <c r="E66" s="9">
        <v>18.75</v>
      </c>
      <c r="F66" s="9" t="s">
        <v>33</v>
      </c>
      <c r="G66" s="9">
        <v>0</v>
      </c>
      <c r="H66" s="9"/>
      <c r="I66" s="9">
        <v>0</v>
      </c>
      <c r="J66" s="9" t="s">
        <v>19</v>
      </c>
      <c r="K66" s="9" t="s">
        <v>16</v>
      </c>
      <c r="L66" s="9">
        <v>24</v>
      </c>
      <c r="M66" s="9">
        <v>7</v>
      </c>
      <c r="N66" s="6">
        <v>17</v>
      </c>
    </row>
    <row r="67" spans="2:14">
      <c r="B67" s="5">
        <v>2011</v>
      </c>
      <c r="C67" s="14">
        <v>46345</v>
      </c>
      <c r="D67" s="9" t="s">
        <v>69</v>
      </c>
      <c r="E67" s="9">
        <v>13</v>
      </c>
      <c r="F67" s="9" t="s">
        <v>70</v>
      </c>
      <c r="G67" s="9">
        <v>1</v>
      </c>
      <c r="H67" s="9">
        <v>3</v>
      </c>
      <c r="I67" s="9">
        <v>1</v>
      </c>
      <c r="J67" s="9" t="s">
        <v>15</v>
      </c>
      <c r="K67" s="9" t="s">
        <v>16</v>
      </c>
      <c r="L67" s="9">
        <v>45</v>
      </c>
      <c r="M67" s="9">
        <v>21</v>
      </c>
      <c r="N67" s="6">
        <v>24</v>
      </c>
    </row>
    <row r="68" spans="2:14">
      <c r="B68" s="5">
        <v>2011</v>
      </c>
      <c r="C68" s="14">
        <v>46352</v>
      </c>
      <c r="D68" s="9" t="s">
        <v>42</v>
      </c>
      <c r="E68" s="9">
        <v>14.5</v>
      </c>
      <c r="F68" s="9" t="s">
        <v>37</v>
      </c>
      <c r="G68" s="9">
        <v>1</v>
      </c>
      <c r="H68" s="9">
        <v>24</v>
      </c>
      <c r="I68" s="9">
        <v>0</v>
      </c>
      <c r="J68" s="9" t="s">
        <v>19</v>
      </c>
      <c r="K68" s="9" t="s">
        <v>16</v>
      </c>
      <c r="L68" s="9">
        <v>42</v>
      </c>
      <c r="M68" s="9">
        <v>14</v>
      </c>
      <c r="N68" s="6">
        <v>28</v>
      </c>
    </row>
    <row r="69" spans="2:14">
      <c r="B69" s="5">
        <v>2011</v>
      </c>
      <c r="C69" s="15">
        <v>40917</v>
      </c>
      <c r="D69" s="9" t="s">
        <v>71</v>
      </c>
      <c r="E69" s="9">
        <v>19.5</v>
      </c>
      <c r="F69" s="9" t="s">
        <v>32</v>
      </c>
      <c r="G69" s="9">
        <v>1</v>
      </c>
      <c r="H69" s="9">
        <v>1</v>
      </c>
      <c r="I69" s="9">
        <v>0</v>
      </c>
      <c r="J69" s="9" t="s">
        <v>27</v>
      </c>
      <c r="K69" s="9" t="s">
        <v>16</v>
      </c>
      <c r="L69" s="9">
        <v>21</v>
      </c>
      <c r="M69" s="9">
        <v>0</v>
      </c>
      <c r="N69" s="6">
        <v>21</v>
      </c>
    </row>
    <row r="70" spans="2:14">
      <c r="B70" s="5">
        <v>2012</v>
      </c>
      <c r="C70" s="14">
        <v>46266</v>
      </c>
      <c r="D70" s="9" t="s">
        <v>36</v>
      </c>
      <c r="E70" s="9">
        <v>19</v>
      </c>
      <c r="F70" s="9" t="s">
        <v>72</v>
      </c>
      <c r="G70" s="9">
        <v>1</v>
      </c>
      <c r="H70" s="9">
        <v>8</v>
      </c>
      <c r="I70" s="9">
        <v>1</v>
      </c>
      <c r="J70" s="9" t="s">
        <v>27</v>
      </c>
      <c r="K70" s="9" t="s">
        <v>16</v>
      </c>
      <c r="L70" s="9">
        <v>41</v>
      </c>
      <c r="M70" s="9">
        <v>14</v>
      </c>
      <c r="N70" s="6">
        <v>27</v>
      </c>
    </row>
    <row r="71" spans="2:14">
      <c r="B71" s="5">
        <v>2012</v>
      </c>
      <c r="C71" s="14">
        <v>46273</v>
      </c>
      <c r="D71" s="9" t="s">
        <v>42</v>
      </c>
      <c r="E71" s="9">
        <v>14.5</v>
      </c>
      <c r="F71" s="9" t="s">
        <v>41</v>
      </c>
      <c r="G71" s="9">
        <v>0</v>
      </c>
      <c r="H71" s="9"/>
      <c r="I71" s="9">
        <v>1</v>
      </c>
      <c r="J71" s="9" t="s">
        <v>15</v>
      </c>
      <c r="K71" s="9" t="s">
        <v>16</v>
      </c>
      <c r="L71" s="9">
        <v>35</v>
      </c>
      <c r="M71" s="9">
        <v>0</v>
      </c>
      <c r="N71" s="6">
        <v>35</v>
      </c>
    </row>
    <row r="72" spans="2:14">
      <c r="B72" s="5">
        <v>2012</v>
      </c>
      <c r="C72" s="14">
        <v>46280</v>
      </c>
      <c r="D72" s="9" t="s">
        <v>42</v>
      </c>
      <c r="E72" s="9">
        <v>14.5</v>
      </c>
      <c r="F72" s="9" t="s">
        <v>21</v>
      </c>
      <c r="G72" s="9">
        <v>0</v>
      </c>
      <c r="H72" s="9"/>
      <c r="I72" s="9">
        <v>0</v>
      </c>
      <c r="J72" s="9" t="s">
        <v>19</v>
      </c>
      <c r="K72" s="9" t="s">
        <v>16</v>
      </c>
      <c r="L72" s="9">
        <v>52</v>
      </c>
      <c r="M72" s="9">
        <v>0</v>
      </c>
      <c r="N72" s="6">
        <v>52</v>
      </c>
    </row>
    <row r="73" spans="2:14">
      <c r="B73" s="5">
        <v>2012</v>
      </c>
      <c r="C73" s="14">
        <v>46287</v>
      </c>
      <c r="D73" s="9" t="s">
        <v>25</v>
      </c>
      <c r="E73" s="9">
        <v>16</v>
      </c>
      <c r="F73" s="9" t="s">
        <v>73</v>
      </c>
      <c r="G73" s="9">
        <v>0</v>
      </c>
      <c r="H73" s="9"/>
      <c r="I73" s="9">
        <v>1</v>
      </c>
      <c r="J73" s="9" t="s">
        <v>15</v>
      </c>
      <c r="K73" s="9" t="s">
        <v>16</v>
      </c>
      <c r="L73" s="9">
        <v>40</v>
      </c>
      <c r="M73" s="9">
        <v>7</v>
      </c>
      <c r="N73" s="6">
        <v>33</v>
      </c>
    </row>
    <row r="74" spans="2:14">
      <c r="B74" s="5">
        <v>2012</v>
      </c>
      <c r="C74" s="14">
        <v>46294</v>
      </c>
      <c r="D74" s="9" t="s">
        <v>61</v>
      </c>
      <c r="E74" s="9">
        <v>20.25</v>
      </c>
      <c r="F74" s="9" t="s">
        <v>30</v>
      </c>
      <c r="G74" s="9">
        <v>0</v>
      </c>
      <c r="H74" s="9"/>
      <c r="I74" s="9">
        <v>0</v>
      </c>
      <c r="J74" s="9" t="s">
        <v>15</v>
      </c>
      <c r="K74" s="9" t="s">
        <v>16</v>
      </c>
      <c r="L74" s="9">
        <v>33</v>
      </c>
      <c r="M74" s="9">
        <v>14</v>
      </c>
      <c r="N74" s="6">
        <v>19</v>
      </c>
    </row>
    <row r="75" spans="2:14">
      <c r="B75" s="5">
        <v>2012</v>
      </c>
      <c r="C75" s="14">
        <v>46308</v>
      </c>
      <c r="D75" s="9" t="s">
        <v>42</v>
      </c>
      <c r="E75" s="9">
        <v>14.5</v>
      </c>
      <c r="F75" s="9" t="s">
        <v>74</v>
      </c>
      <c r="G75" s="9">
        <v>0</v>
      </c>
      <c r="H75" s="9"/>
      <c r="I75" s="9">
        <v>0</v>
      </c>
      <c r="J75" s="9" t="s">
        <v>19</v>
      </c>
      <c r="K75" s="9" t="s">
        <v>16</v>
      </c>
      <c r="L75" s="9">
        <v>42</v>
      </c>
      <c r="M75" s="9">
        <v>10</v>
      </c>
      <c r="N75" s="6">
        <v>32</v>
      </c>
    </row>
    <row r="76" spans="2:14">
      <c r="B76" s="5">
        <v>2012</v>
      </c>
      <c r="C76" s="14">
        <v>46315</v>
      </c>
      <c r="D76" s="9" t="s">
        <v>13</v>
      </c>
      <c r="E76" s="9">
        <v>18</v>
      </c>
      <c r="F76" s="9" t="s">
        <v>31</v>
      </c>
      <c r="G76" s="9">
        <v>0</v>
      </c>
      <c r="H76" s="9"/>
      <c r="I76" s="9">
        <v>0</v>
      </c>
      <c r="J76" s="9" t="s">
        <v>19</v>
      </c>
      <c r="K76" s="9" t="s">
        <v>16</v>
      </c>
      <c r="L76" s="9">
        <v>44</v>
      </c>
      <c r="M76" s="9">
        <v>13</v>
      </c>
      <c r="N76" s="6">
        <v>31</v>
      </c>
    </row>
    <row r="77" spans="2:14">
      <c r="B77" s="5">
        <v>2012</v>
      </c>
      <c r="C77" s="14">
        <v>46322</v>
      </c>
      <c r="D77" s="9" t="s">
        <v>75</v>
      </c>
      <c r="E77" s="9">
        <v>19.75</v>
      </c>
      <c r="F77" s="9" t="s">
        <v>33</v>
      </c>
      <c r="G77" s="9">
        <v>1</v>
      </c>
      <c r="H77" s="9">
        <v>11</v>
      </c>
      <c r="I77" s="9">
        <v>0</v>
      </c>
      <c r="J77" s="9" t="s">
        <v>15</v>
      </c>
      <c r="K77" s="9" t="s">
        <v>16</v>
      </c>
      <c r="L77" s="9">
        <v>38</v>
      </c>
      <c r="M77" s="9">
        <v>7</v>
      </c>
      <c r="N77" s="6">
        <v>31</v>
      </c>
    </row>
    <row r="78" spans="2:14">
      <c r="B78" s="5">
        <v>2012</v>
      </c>
      <c r="C78" s="14">
        <v>46329</v>
      </c>
      <c r="D78" s="9" t="s">
        <v>36</v>
      </c>
      <c r="E78" s="9">
        <v>19</v>
      </c>
      <c r="F78" s="9" t="s">
        <v>32</v>
      </c>
      <c r="G78" s="9">
        <v>1</v>
      </c>
      <c r="H78" s="9">
        <v>5</v>
      </c>
      <c r="I78" s="9">
        <v>0</v>
      </c>
      <c r="J78" s="9" t="s">
        <v>19</v>
      </c>
      <c r="K78" s="9" t="s">
        <v>16</v>
      </c>
      <c r="L78" s="9">
        <v>21</v>
      </c>
      <c r="M78" s="9">
        <v>17</v>
      </c>
      <c r="N78" s="6">
        <v>4</v>
      </c>
    </row>
    <row r="79" spans="2:14">
      <c r="B79" s="5">
        <v>2012</v>
      </c>
      <c r="C79" s="14">
        <v>46336</v>
      </c>
      <c r="D79" s="9" t="s">
        <v>42</v>
      </c>
      <c r="E79" s="9">
        <v>14.5</v>
      </c>
      <c r="F79" s="9" t="s">
        <v>76</v>
      </c>
      <c r="G79" s="9">
        <v>1</v>
      </c>
      <c r="H79" s="9">
        <v>15</v>
      </c>
      <c r="I79" s="9">
        <v>0</v>
      </c>
      <c r="J79" s="9" t="s">
        <v>15</v>
      </c>
      <c r="K79" s="9" t="s">
        <v>24</v>
      </c>
      <c r="L79" s="9">
        <v>24</v>
      </c>
      <c r="M79" s="9">
        <v>29</v>
      </c>
      <c r="N79" s="6">
        <v>-5</v>
      </c>
    </row>
    <row r="80" spans="2:14">
      <c r="B80" s="5">
        <v>2012</v>
      </c>
      <c r="C80" s="14">
        <v>46343</v>
      </c>
      <c r="D80" s="9" t="s">
        <v>52</v>
      </c>
      <c r="E80" s="9">
        <v>11.35</v>
      </c>
      <c r="F80" s="9" t="s">
        <v>14</v>
      </c>
      <c r="G80" s="9">
        <v>0</v>
      </c>
      <c r="H80" s="9"/>
      <c r="I80" s="9">
        <v>1</v>
      </c>
      <c r="J80" s="9" t="s">
        <v>15</v>
      </c>
      <c r="K80" s="9" t="s">
        <v>16</v>
      </c>
      <c r="L80" s="9">
        <v>49</v>
      </c>
      <c r="M80" s="9">
        <v>0</v>
      </c>
      <c r="N80" s="6">
        <v>49</v>
      </c>
    </row>
    <row r="81" spans="2:14">
      <c r="B81" s="5">
        <v>2012</v>
      </c>
      <c r="C81" s="14">
        <v>46350</v>
      </c>
      <c r="D81" s="9" t="s">
        <v>42</v>
      </c>
      <c r="E81" s="9">
        <v>14.5</v>
      </c>
      <c r="F81" s="9" t="s">
        <v>37</v>
      </c>
      <c r="G81" s="9">
        <v>0</v>
      </c>
      <c r="H81" s="9"/>
      <c r="I81" s="9">
        <v>0</v>
      </c>
      <c r="J81" s="9" t="s">
        <v>15</v>
      </c>
      <c r="K81" s="9" t="s">
        <v>16</v>
      </c>
      <c r="L81" s="9">
        <v>49</v>
      </c>
      <c r="M81" s="9">
        <v>0</v>
      </c>
      <c r="N81" s="6">
        <v>49</v>
      </c>
    </row>
    <row r="82" spans="2:14">
      <c r="B82" s="5">
        <v>2012</v>
      </c>
      <c r="C82" s="14">
        <v>46357</v>
      </c>
      <c r="D82" s="9" t="s">
        <v>25</v>
      </c>
      <c r="E82" s="9">
        <v>16</v>
      </c>
      <c r="F82" s="9" t="s">
        <v>23</v>
      </c>
      <c r="G82" s="9">
        <v>1</v>
      </c>
      <c r="H82" s="9">
        <v>3</v>
      </c>
      <c r="I82" s="9">
        <v>0</v>
      </c>
      <c r="J82" s="9" t="s">
        <v>27</v>
      </c>
      <c r="K82" s="9" t="s">
        <v>16</v>
      </c>
      <c r="L82" s="9">
        <v>32</v>
      </c>
      <c r="M82" s="9">
        <v>28</v>
      </c>
      <c r="N82" s="6">
        <v>4</v>
      </c>
    </row>
    <row r="83" spans="2:14">
      <c r="B83" s="5">
        <v>2012</v>
      </c>
      <c r="C83" s="15">
        <v>41281</v>
      </c>
      <c r="D83" s="9" t="s">
        <v>71</v>
      </c>
      <c r="E83" s="9">
        <v>19.5</v>
      </c>
      <c r="F83" s="9" t="s">
        <v>77</v>
      </c>
      <c r="G83" s="9">
        <v>1</v>
      </c>
      <c r="H83" s="9">
        <v>1</v>
      </c>
      <c r="I83" s="9">
        <v>1</v>
      </c>
      <c r="J83" s="9" t="s">
        <v>27</v>
      </c>
      <c r="K83" s="9" t="s">
        <v>16</v>
      </c>
      <c r="L83" s="9">
        <v>42</v>
      </c>
      <c r="M83" s="9">
        <v>14</v>
      </c>
      <c r="N83" s="6">
        <v>28</v>
      </c>
    </row>
    <row r="84" spans="2:14">
      <c r="B84" s="5">
        <v>2013</v>
      </c>
      <c r="C84" s="14">
        <v>46265</v>
      </c>
      <c r="D84" s="9" t="s">
        <v>78</v>
      </c>
      <c r="E84" s="9">
        <v>16.5</v>
      </c>
      <c r="F84" s="9" t="s">
        <v>49</v>
      </c>
      <c r="G84" s="9">
        <v>0</v>
      </c>
      <c r="H84" s="9"/>
      <c r="I84" s="9">
        <v>1</v>
      </c>
      <c r="J84" s="9" t="s">
        <v>27</v>
      </c>
      <c r="K84" s="9" t="s">
        <v>16</v>
      </c>
      <c r="L84" s="9">
        <v>35</v>
      </c>
      <c r="M84" s="9">
        <v>10</v>
      </c>
      <c r="N84" s="6">
        <v>25</v>
      </c>
    </row>
    <row r="85" spans="2:14">
      <c r="B85" s="5">
        <v>2013</v>
      </c>
      <c r="C85" s="14">
        <v>46279</v>
      </c>
      <c r="D85" s="9" t="s">
        <v>42</v>
      </c>
      <c r="E85" s="9">
        <v>14.5</v>
      </c>
      <c r="F85" s="9" t="s">
        <v>76</v>
      </c>
      <c r="G85" s="9">
        <v>1</v>
      </c>
      <c r="H85" s="9">
        <v>6</v>
      </c>
      <c r="I85" s="9">
        <v>0</v>
      </c>
      <c r="J85" s="9" t="s">
        <v>19</v>
      </c>
      <c r="K85" s="9" t="s">
        <v>16</v>
      </c>
      <c r="L85" s="9">
        <v>49</v>
      </c>
      <c r="M85" s="9">
        <v>42</v>
      </c>
      <c r="N85" s="6">
        <v>7</v>
      </c>
    </row>
    <row r="86" spans="2:14">
      <c r="B86" s="5">
        <v>2013</v>
      </c>
      <c r="C86" s="14">
        <v>46286</v>
      </c>
      <c r="D86" s="9" t="s">
        <v>13</v>
      </c>
      <c r="E86" s="9">
        <v>18</v>
      </c>
      <c r="F86" s="9" t="s">
        <v>79</v>
      </c>
      <c r="G86" s="9">
        <v>0</v>
      </c>
      <c r="H86" s="9"/>
      <c r="I86" s="9">
        <v>1</v>
      </c>
      <c r="J86" s="9" t="s">
        <v>15</v>
      </c>
      <c r="K86" s="9" t="s">
        <v>16</v>
      </c>
      <c r="L86" s="9">
        <v>31</v>
      </c>
      <c r="M86" s="9">
        <v>6</v>
      </c>
      <c r="N86" s="6">
        <v>25</v>
      </c>
    </row>
    <row r="87" spans="2:14">
      <c r="B87" s="5">
        <v>2013</v>
      </c>
      <c r="C87" s="14">
        <v>46293</v>
      </c>
      <c r="D87" s="9" t="s">
        <v>80</v>
      </c>
      <c r="E87" s="9">
        <v>17.5</v>
      </c>
      <c r="F87" s="9" t="s">
        <v>30</v>
      </c>
      <c r="G87" s="9">
        <v>1</v>
      </c>
      <c r="H87" s="9">
        <v>21</v>
      </c>
      <c r="I87" s="9">
        <v>0</v>
      </c>
      <c r="J87" s="9" t="s">
        <v>15</v>
      </c>
      <c r="K87" s="9" t="s">
        <v>16</v>
      </c>
      <c r="L87" s="9">
        <v>25</v>
      </c>
      <c r="M87" s="9">
        <v>0</v>
      </c>
      <c r="N87" s="6">
        <v>25</v>
      </c>
    </row>
    <row r="88" spans="2:14">
      <c r="B88" s="5">
        <v>2013</v>
      </c>
      <c r="C88" s="14">
        <v>46300</v>
      </c>
      <c r="D88" s="9" t="s">
        <v>52</v>
      </c>
      <c r="E88" s="9">
        <v>11.35</v>
      </c>
      <c r="F88" s="9" t="s">
        <v>64</v>
      </c>
      <c r="G88" s="9">
        <v>0</v>
      </c>
      <c r="H88" s="9"/>
      <c r="I88" s="9">
        <v>1</v>
      </c>
      <c r="J88" s="9" t="s">
        <v>15</v>
      </c>
      <c r="K88" s="9" t="s">
        <v>16</v>
      </c>
      <c r="L88" s="9">
        <v>45</v>
      </c>
      <c r="M88" s="9">
        <v>3</v>
      </c>
      <c r="N88" s="6">
        <v>42</v>
      </c>
    </row>
    <row r="89" spans="2:14">
      <c r="B89" s="5">
        <v>2013</v>
      </c>
      <c r="C89" s="14">
        <v>46307</v>
      </c>
      <c r="D89" s="9" t="s">
        <v>13</v>
      </c>
      <c r="E89" s="9">
        <v>18</v>
      </c>
      <c r="F89" s="9" t="s">
        <v>43</v>
      </c>
      <c r="G89" s="9">
        <v>0</v>
      </c>
      <c r="H89" s="9"/>
      <c r="I89" s="9">
        <v>0</v>
      </c>
      <c r="J89" s="9" t="s">
        <v>19</v>
      </c>
      <c r="K89" s="9" t="s">
        <v>16</v>
      </c>
      <c r="L89" s="9">
        <v>48</v>
      </c>
      <c r="M89" s="9">
        <v>7</v>
      </c>
      <c r="N89" s="6">
        <v>41</v>
      </c>
    </row>
    <row r="90" spans="2:14">
      <c r="B90" s="5">
        <v>2013</v>
      </c>
      <c r="C90" s="14">
        <v>46314</v>
      </c>
      <c r="D90" s="9" t="s">
        <v>13</v>
      </c>
      <c r="E90" s="9">
        <v>18</v>
      </c>
      <c r="F90" s="9" t="s">
        <v>21</v>
      </c>
      <c r="G90" s="9">
        <v>0</v>
      </c>
      <c r="H90" s="9"/>
      <c r="I90" s="9">
        <v>0</v>
      </c>
      <c r="J90" s="9" t="s">
        <v>15</v>
      </c>
      <c r="K90" s="9" t="s">
        <v>16</v>
      </c>
      <c r="L90" s="9">
        <v>52</v>
      </c>
      <c r="M90" s="9">
        <v>0</v>
      </c>
      <c r="N90" s="6">
        <v>52</v>
      </c>
    </row>
    <row r="91" spans="2:14">
      <c r="B91" s="5">
        <v>2013</v>
      </c>
      <c r="C91" s="14">
        <v>46321</v>
      </c>
      <c r="D91" s="9" t="s">
        <v>42</v>
      </c>
      <c r="E91" s="9">
        <v>14.5</v>
      </c>
      <c r="F91" s="9" t="s">
        <v>31</v>
      </c>
      <c r="G91" s="9">
        <v>0</v>
      </c>
      <c r="H91" s="9"/>
      <c r="I91" s="9">
        <v>0</v>
      </c>
      <c r="J91" s="9" t="s">
        <v>15</v>
      </c>
      <c r="K91" s="9" t="s">
        <v>16</v>
      </c>
      <c r="L91" s="9">
        <v>45</v>
      </c>
      <c r="M91" s="9">
        <v>10</v>
      </c>
      <c r="N91" s="6">
        <v>35</v>
      </c>
    </row>
    <row r="92" spans="2:14">
      <c r="B92" s="5">
        <v>2013</v>
      </c>
      <c r="C92" s="14">
        <v>46335</v>
      </c>
      <c r="D92" s="9" t="s">
        <v>36</v>
      </c>
      <c r="E92" s="9">
        <v>19</v>
      </c>
      <c r="F92" s="9" t="s">
        <v>32</v>
      </c>
      <c r="G92" s="9">
        <v>1</v>
      </c>
      <c r="H92" s="9">
        <v>10</v>
      </c>
      <c r="I92" s="9">
        <v>0</v>
      </c>
      <c r="J92" s="9" t="s">
        <v>15</v>
      </c>
      <c r="K92" s="9" t="s">
        <v>16</v>
      </c>
      <c r="L92" s="9">
        <v>38</v>
      </c>
      <c r="M92" s="9">
        <v>17</v>
      </c>
      <c r="N92" s="6">
        <v>21</v>
      </c>
    </row>
    <row r="93" spans="2:14">
      <c r="B93" s="5">
        <v>2013</v>
      </c>
      <c r="C93" s="14">
        <v>46342</v>
      </c>
      <c r="D93" s="9" t="s">
        <v>22</v>
      </c>
      <c r="E93" s="9">
        <v>18.75</v>
      </c>
      <c r="F93" s="9" t="s">
        <v>33</v>
      </c>
      <c r="G93" s="9">
        <v>0</v>
      </c>
      <c r="H93" s="9"/>
      <c r="I93" s="9">
        <v>0</v>
      </c>
      <c r="J93" s="9" t="s">
        <v>19</v>
      </c>
      <c r="K93" s="9" t="s">
        <v>16</v>
      </c>
      <c r="L93" s="9">
        <v>20</v>
      </c>
      <c r="M93" s="9">
        <v>7</v>
      </c>
      <c r="N93" s="6">
        <v>13</v>
      </c>
    </row>
    <row r="94" spans="2:14">
      <c r="B94" s="5">
        <v>2013</v>
      </c>
      <c r="C94" s="14">
        <v>46349</v>
      </c>
      <c r="D94" s="9" t="s">
        <v>69</v>
      </c>
      <c r="E94" s="9">
        <v>13</v>
      </c>
      <c r="F94" s="9" t="s">
        <v>55</v>
      </c>
      <c r="G94" s="9">
        <v>0</v>
      </c>
      <c r="H94" s="9"/>
      <c r="I94" s="9">
        <v>1</v>
      </c>
      <c r="J94" s="9" t="s">
        <v>15</v>
      </c>
      <c r="K94" s="9" t="s">
        <v>16</v>
      </c>
      <c r="L94" s="9">
        <v>49</v>
      </c>
      <c r="M94" s="9">
        <v>0</v>
      </c>
      <c r="N94" s="6">
        <v>49</v>
      </c>
    </row>
    <row r="95" spans="2:14">
      <c r="B95" s="5">
        <v>2013</v>
      </c>
      <c r="C95" s="14">
        <v>46356</v>
      </c>
      <c r="D95" s="9" t="s">
        <v>42</v>
      </c>
      <c r="E95" s="9">
        <v>14.5</v>
      </c>
      <c r="F95" s="9" t="s">
        <v>37</v>
      </c>
      <c r="G95" s="9">
        <v>1</v>
      </c>
      <c r="H95" s="9">
        <v>4</v>
      </c>
      <c r="I95" s="9">
        <v>0</v>
      </c>
      <c r="J95" s="9" t="s">
        <v>19</v>
      </c>
      <c r="K95" s="9" t="s">
        <v>24</v>
      </c>
      <c r="L95" s="9">
        <v>28</v>
      </c>
      <c r="M95" s="9">
        <v>34</v>
      </c>
      <c r="N95" s="6">
        <v>-6</v>
      </c>
    </row>
    <row r="96" spans="2:14">
      <c r="B96" s="5">
        <v>2013</v>
      </c>
      <c r="C96" s="15">
        <v>41641</v>
      </c>
      <c r="D96" s="9" t="s">
        <v>71</v>
      </c>
      <c r="E96" s="9">
        <v>19.5</v>
      </c>
      <c r="F96" s="9" t="s">
        <v>81</v>
      </c>
      <c r="G96" s="9">
        <v>1</v>
      </c>
      <c r="H96" s="9">
        <v>11</v>
      </c>
      <c r="I96" s="9">
        <v>1</v>
      </c>
      <c r="J96" s="9" t="s">
        <v>27</v>
      </c>
      <c r="K96" s="9" t="s">
        <v>24</v>
      </c>
      <c r="L96" s="9">
        <v>31</v>
      </c>
      <c r="M96" s="9">
        <v>45</v>
      </c>
      <c r="N96" s="6">
        <v>-14</v>
      </c>
    </row>
    <row r="97" spans="2:14">
      <c r="B97" s="5">
        <v>2014</v>
      </c>
      <c r="C97" s="14">
        <v>46264</v>
      </c>
      <c r="D97" s="9" t="s">
        <v>42</v>
      </c>
      <c r="E97" s="9">
        <v>14.5</v>
      </c>
      <c r="F97" s="9" t="s">
        <v>82</v>
      </c>
      <c r="G97" s="9">
        <v>0</v>
      </c>
      <c r="H97" s="9"/>
      <c r="I97" s="9">
        <v>1</v>
      </c>
      <c r="J97" s="9" t="s">
        <v>27</v>
      </c>
      <c r="K97" s="9" t="s">
        <v>16</v>
      </c>
      <c r="L97" s="9">
        <v>33</v>
      </c>
      <c r="M97" s="9">
        <v>23</v>
      </c>
      <c r="N97" s="6">
        <v>10</v>
      </c>
    </row>
    <row r="98" spans="2:14">
      <c r="B98" s="5">
        <v>2014</v>
      </c>
      <c r="C98" s="14">
        <v>46271</v>
      </c>
      <c r="D98" s="9" t="s">
        <v>83</v>
      </c>
      <c r="E98" s="9">
        <v>11</v>
      </c>
      <c r="F98" s="9" t="s">
        <v>73</v>
      </c>
      <c r="G98" s="9">
        <v>0</v>
      </c>
      <c r="H98" s="9"/>
      <c r="I98" s="9">
        <v>1</v>
      </c>
      <c r="J98" s="9" t="s">
        <v>15</v>
      </c>
      <c r="K98" s="9" t="s">
        <v>16</v>
      </c>
      <c r="L98" s="9">
        <v>41</v>
      </c>
      <c r="M98" s="9">
        <v>0</v>
      </c>
      <c r="N98" s="6">
        <v>41</v>
      </c>
    </row>
    <row r="99" spans="2:14">
      <c r="B99" s="5">
        <v>2014</v>
      </c>
      <c r="C99" s="14">
        <v>46278</v>
      </c>
      <c r="D99" s="9" t="s">
        <v>68</v>
      </c>
      <c r="E99" s="9">
        <v>17</v>
      </c>
      <c r="F99" s="9" t="s">
        <v>84</v>
      </c>
      <c r="G99" s="9">
        <v>0</v>
      </c>
      <c r="H99" s="9"/>
      <c r="I99" s="9">
        <v>1</v>
      </c>
      <c r="J99" s="9" t="s">
        <v>15</v>
      </c>
      <c r="K99" s="9" t="s">
        <v>16</v>
      </c>
      <c r="L99" s="9">
        <v>52</v>
      </c>
      <c r="M99" s="9">
        <v>12</v>
      </c>
      <c r="N99" s="6">
        <v>40</v>
      </c>
    </row>
    <row r="100" spans="2:14">
      <c r="B100" s="5">
        <v>2014</v>
      </c>
      <c r="C100" s="14">
        <v>46285</v>
      </c>
      <c r="D100" s="9" t="s">
        <v>42</v>
      </c>
      <c r="E100" s="9">
        <v>14.5</v>
      </c>
      <c r="F100" s="9" t="s">
        <v>46</v>
      </c>
      <c r="G100" s="9">
        <v>0</v>
      </c>
      <c r="H100" s="9"/>
      <c r="I100" s="9">
        <v>0</v>
      </c>
      <c r="J100" s="9" t="s">
        <v>15</v>
      </c>
      <c r="K100" s="9" t="s">
        <v>16</v>
      </c>
      <c r="L100" s="9">
        <v>42</v>
      </c>
      <c r="M100" s="9">
        <v>21</v>
      </c>
      <c r="N100" s="6">
        <v>21</v>
      </c>
    </row>
    <row r="101" spans="2:14">
      <c r="B101" s="5">
        <v>2014</v>
      </c>
      <c r="C101" s="14">
        <v>46299</v>
      </c>
      <c r="D101" s="9" t="s">
        <v>42</v>
      </c>
      <c r="E101" s="9">
        <v>14.5</v>
      </c>
      <c r="F101" s="9" t="s">
        <v>30</v>
      </c>
      <c r="G101" s="9">
        <v>1</v>
      </c>
      <c r="H101" s="9">
        <v>11</v>
      </c>
      <c r="I101" s="9">
        <v>0</v>
      </c>
      <c r="J101" s="9" t="s">
        <v>19</v>
      </c>
      <c r="K101" s="9" t="s">
        <v>24</v>
      </c>
      <c r="L101" s="9">
        <v>17</v>
      </c>
      <c r="M101" s="9">
        <v>23</v>
      </c>
      <c r="N101" s="6">
        <v>-6</v>
      </c>
    </row>
    <row r="102" spans="2:14">
      <c r="B102" s="5">
        <v>2014</v>
      </c>
      <c r="C102" s="14">
        <v>46306</v>
      </c>
      <c r="D102" s="9" t="s">
        <v>68</v>
      </c>
      <c r="E102" s="9">
        <v>17</v>
      </c>
      <c r="F102" s="9" t="s">
        <v>21</v>
      </c>
      <c r="G102" s="9">
        <v>0</v>
      </c>
      <c r="H102" s="9"/>
      <c r="I102" s="9">
        <v>0</v>
      </c>
      <c r="J102" s="9" t="s">
        <v>19</v>
      </c>
      <c r="K102" s="9" t="s">
        <v>16</v>
      </c>
      <c r="L102" s="9">
        <v>14</v>
      </c>
      <c r="M102" s="9">
        <v>13</v>
      </c>
      <c r="N102" s="6">
        <v>1</v>
      </c>
    </row>
    <row r="103" spans="2:14">
      <c r="B103" s="5">
        <v>2014</v>
      </c>
      <c r="C103" s="14">
        <v>46313</v>
      </c>
      <c r="D103" s="9" t="s">
        <v>42</v>
      </c>
      <c r="E103" s="9">
        <v>14.5</v>
      </c>
      <c r="F103" s="9" t="s">
        <v>76</v>
      </c>
      <c r="G103" s="9">
        <v>1</v>
      </c>
      <c r="H103" s="9">
        <v>21</v>
      </c>
      <c r="I103" s="9">
        <v>0</v>
      </c>
      <c r="J103" s="9" t="s">
        <v>15</v>
      </c>
      <c r="K103" s="9" t="s">
        <v>16</v>
      </c>
      <c r="L103" s="9">
        <v>59</v>
      </c>
      <c r="M103" s="9">
        <v>0</v>
      </c>
      <c r="N103" s="6">
        <v>59</v>
      </c>
    </row>
    <row r="104" spans="2:14">
      <c r="B104" s="5">
        <v>2014</v>
      </c>
      <c r="C104" s="14">
        <v>46320</v>
      </c>
      <c r="D104" s="9" t="s">
        <v>63</v>
      </c>
      <c r="E104" s="9">
        <v>18.5</v>
      </c>
      <c r="F104" s="9" t="s">
        <v>31</v>
      </c>
      <c r="G104" s="9">
        <v>0</v>
      </c>
      <c r="H104" s="9"/>
      <c r="I104" s="9">
        <v>0</v>
      </c>
      <c r="J104" s="9" t="s">
        <v>19</v>
      </c>
      <c r="K104" s="9" t="s">
        <v>16</v>
      </c>
      <c r="L104" s="9">
        <v>34</v>
      </c>
      <c r="M104" s="9">
        <v>20</v>
      </c>
      <c r="N104" s="6">
        <v>14</v>
      </c>
    </row>
    <row r="105" spans="2:14">
      <c r="B105" s="5">
        <v>2014</v>
      </c>
      <c r="C105" s="14">
        <v>46334</v>
      </c>
      <c r="D105" s="9" t="s">
        <v>36</v>
      </c>
      <c r="E105" s="9">
        <v>19</v>
      </c>
      <c r="F105" s="9" t="s">
        <v>32</v>
      </c>
      <c r="G105" s="9">
        <v>1</v>
      </c>
      <c r="H105" s="9">
        <v>16</v>
      </c>
      <c r="I105" s="9">
        <v>0</v>
      </c>
      <c r="J105" s="9" t="s">
        <v>19</v>
      </c>
      <c r="K105" s="9" t="s">
        <v>16</v>
      </c>
      <c r="L105" s="9">
        <v>20</v>
      </c>
      <c r="M105" s="9">
        <v>13</v>
      </c>
      <c r="N105" s="6">
        <v>7</v>
      </c>
    </row>
    <row r="106" spans="2:14">
      <c r="B106" s="5">
        <v>2014</v>
      </c>
      <c r="C106" s="14">
        <v>46341</v>
      </c>
      <c r="D106" s="9" t="s">
        <v>42</v>
      </c>
      <c r="E106" s="9">
        <v>14.5</v>
      </c>
      <c r="F106" s="9" t="s">
        <v>33</v>
      </c>
      <c r="G106" s="9">
        <v>1</v>
      </c>
      <c r="H106" s="9">
        <v>1</v>
      </c>
      <c r="I106" s="9">
        <v>0</v>
      </c>
      <c r="J106" s="9" t="s">
        <v>15</v>
      </c>
      <c r="K106" s="9" t="s">
        <v>16</v>
      </c>
      <c r="L106" s="9">
        <v>25</v>
      </c>
      <c r="M106" s="9">
        <v>20</v>
      </c>
      <c r="N106" s="6">
        <v>5</v>
      </c>
    </row>
    <row r="107" spans="2:14">
      <c r="B107" s="5">
        <v>2014</v>
      </c>
      <c r="C107" s="14">
        <v>46348</v>
      </c>
      <c r="D107" s="9" t="s">
        <v>45</v>
      </c>
      <c r="E107" s="9">
        <v>15</v>
      </c>
      <c r="F107" s="9" t="s">
        <v>14</v>
      </c>
      <c r="G107" s="9">
        <v>0</v>
      </c>
      <c r="H107" s="9"/>
      <c r="I107" s="9">
        <v>1</v>
      </c>
      <c r="J107" s="9" t="s">
        <v>15</v>
      </c>
      <c r="K107" s="9" t="s">
        <v>16</v>
      </c>
      <c r="L107" s="9">
        <v>48</v>
      </c>
      <c r="M107" s="9">
        <v>14</v>
      </c>
      <c r="N107" s="6">
        <v>34</v>
      </c>
    </row>
    <row r="108" spans="2:14">
      <c r="B108" s="5">
        <v>2014</v>
      </c>
      <c r="C108" s="14">
        <v>46355</v>
      </c>
      <c r="D108" s="9" t="s">
        <v>22</v>
      </c>
      <c r="E108" s="9">
        <v>18.75</v>
      </c>
      <c r="F108" s="9" t="s">
        <v>37</v>
      </c>
      <c r="G108" s="9">
        <v>1</v>
      </c>
      <c r="H108" s="9">
        <v>15</v>
      </c>
      <c r="I108" s="9">
        <v>0</v>
      </c>
      <c r="J108" s="9" t="s">
        <v>15</v>
      </c>
      <c r="K108" s="9" t="s">
        <v>16</v>
      </c>
      <c r="L108" s="9">
        <v>55</v>
      </c>
      <c r="M108" s="9">
        <v>44</v>
      </c>
      <c r="N108" s="6">
        <v>11</v>
      </c>
    </row>
    <row r="109" spans="2:14">
      <c r="B109" s="5">
        <v>2014</v>
      </c>
      <c r="C109" s="14">
        <v>46362</v>
      </c>
      <c r="D109" s="9" t="s">
        <v>45</v>
      </c>
      <c r="E109" s="9">
        <v>15</v>
      </c>
      <c r="F109" s="9" t="s">
        <v>74</v>
      </c>
      <c r="G109" s="9">
        <v>1</v>
      </c>
      <c r="H109" s="9">
        <v>16</v>
      </c>
      <c r="I109" s="9">
        <v>0</v>
      </c>
      <c r="J109" s="9" t="s">
        <v>27</v>
      </c>
      <c r="K109" s="9" t="s">
        <v>16</v>
      </c>
      <c r="L109" s="9">
        <v>42</v>
      </c>
      <c r="M109" s="9">
        <v>13</v>
      </c>
      <c r="N109" s="6">
        <v>29</v>
      </c>
    </row>
    <row r="110" spans="2:14">
      <c r="B110" s="5">
        <v>2014</v>
      </c>
      <c r="C110" s="15">
        <v>42005</v>
      </c>
      <c r="D110" s="9" t="s">
        <v>71</v>
      </c>
      <c r="E110" s="9">
        <v>19.5</v>
      </c>
      <c r="F110" s="9" t="s">
        <v>85</v>
      </c>
      <c r="G110" s="9">
        <v>1</v>
      </c>
      <c r="H110" s="9">
        <v>4</v>
      </c>
      <c r="I110" s="9">
        <v>1</v>
      </c>
      <c r="J110" s="9" t="s">
        <v>27</v>
      </c>
      <c r="K110" s="9" t="s">
        <v>24</v>
      </c>
      <c r="L110" s="9">
        <v>35</v>
      </c>
      <c r="M110" s="9">
        <v>42</v>
      </c>
      <c r="N110" s="6">
        <v>-7</v>
      </c>
    </row>
    <row r="111" spans="2:14">
      <c r="B111" s="5">
        <v>2015</v>
      </c>
      <c r="C111" s="14">
        <v>46270</v>
      </c>
      <c r="D111" s="9" t="s">
        <v>36</v>
      </c>
      <c r="E111" s="9">
        <v>19</v>
      </c>
      <c r="F111" s="9" t="s">
        <v>86</v>
      </c>
      <c r="G111" s="9">
        <v>1</v>
      </c>
      <c r="H111" s="9">
        <v>20</v>
      </c>
      <c r="I111" s="9">
        <v>1</v>
      </c>
      <c r="J111" s="9" t="s">
        <v>27</v>
      </c>
      <c r="K111" s="9" t="s">
        <v>16</v>
      </c>
      <c r="L111" s="9">
        <v>35</v>
      </c>
      <c r="M111" s="9">
        <v>17</v>
      </c>
      <c r="N111" s="6">
        <v>18</v>
      </c>
    </row>
    <row r="112" spans="2:14">
      <c r="B112" s="5">
        <v>2015</v>
      </c>
      <c r="C112" s="14">
        <v>46277</v>
      </c>
      <c r="D112" s="9" t="s">
        <v>45</v>
      </c>
      <c r="E112" s="9">
        <v>15</v>
      </c>
      <c r="F112" s="9" t="s">
        <v>87</v>
      </c>
      <c r="G112" s="9">
        <v>0</v>
      </c>
      <c r="H112" s="9"/>
      <c r="I112" s="9">
        <v>1</v>
      </c>
      <c r="J112" s="9" t="s">
        <v>15</v>
      </c>
      <c r="K112" s="9" t="s">
        <v>16</v>
      </c>
      <c r="L112" s="9">
        <v>37</v>
      </c>
      <c r="M112" s="9">
        <v>10</v>
      </c>
      <c r="N112" s="6">
        <v>27</v>
      </c>
    </row>
    <row r="113" spans="2:14">
      <c r="B113" s="5">
        <v>2015</v>
      </c>
      <c r="C113" s="14">
        <v>46284</v>
      </c>
      <c r="D113" s="9" t="s">
        <v>61</v>
      </c>
      <c r="E113" s="9">
        <v>20.25</v>
      </c>
      <c r="F113" s="9" t="s">
        <v>30</v>
      </c>
      <c r="G113" s="9">
        <v>1</v>
      </c>
      <c r="H113" s="9">
        <v>15</v>
      </c>
      <c r="I113" s="9">
        <v>0</v>
      </c>
      <c r="J113" s="9" t="s">
        <v>15</v>
      </c>
      <c r="K113" s="9" t="s">
        <v>24</v>
      </c>
      <c r="L113" s="9">
        <v>37</v>
      </c>
      <c r="M113" s="9">
        <v>43</v>
      </c>
      <c r="N113" s="6">
        <v>-6</v>
      </c>
    </row>
    <row r="114" spans="2:14">
      <c r="B114" s="5">
        <v>2015</v>
      </c>
      <c r="C114" s="14">
        <v>46291</v>
      </c>
      <c r="D114" s="9" t="s">
        <v>45</v>
      </c>
      <c r="E114" s="9">
        <v>15</v>
      </c>
      <c r="F114" s="9" t="s">
        <v>35</v>
      </c>
      <c r="G114" s="9">
        <v>0</v>
      </c>
      <c r="H114" s="9"/>
      <c r="I114" s="9">
        <v>1</v>
      </c>
      <c r="J114" s="9" t="s">
        <v>15</v>
      </c>
      <c r="K114" s="9" t="s">
        <v>16</v>
      </c>
      <c r="L114" s="9">
        <v>34</v>
      </c>
      <c r="M114" s="9">
        <v>0</v>
      </c>
      <c r="N114" s="6">
        <v>34</v>
      </c>
    </row>
    <row r="115" spans="2:14">
      <c r="B115" s="5">
        <v>2015</v>
      </c>
      <c r="C115" s="14">
        <v>46298</v>
      </c>
      <c r="D115" s="9" t="s">
        <v>42</v>
      </c>
      <c r="E115" s="9">
        <v>14.5</v>
      </c>
      <c r="F115" s="9" t="s">
        <v>23</v>
      </c>
      <c r="G115" s="9">
        <v>1</v>
      </c>
      <c r="H115" s="9">
        <v>8</v>
      </c>
      <c r="I115" s="9">
        <v>0</v>
      </c>
      <c r="J115" s="9" t="s">
        <v>19</v>
      </c>
      <c r="K115" s="9" t="s">
        <v>16</v>
      </c>
      <c r="L115" s="9">
        <v>38</v>
      </c>
      <c r="M115" s="9">
        <v>10</v>
      </c>
      <c r="N115" s="6">
        <v>28</v>
      </c>
    </row>
    <row r="116" spans="2:14">
      <c r="B116" s="5">
        <v>2015</v>
      </c>
      <c r="C116" s="14">
        <v>46305</v>
      </c>
      <c r="D116" s="9" t="s">
        <v>13</v>
      </c>
      <c r="E116" s="9">
        <v>18</v>
      </c>
      <c r="F116" s="9" t="s">
        <v>21</v>
      </c>
      <c r="G116" s="9">
        <v>0</v>
      </c>
      <c r="H116" s="9"/>
      <c r="I116" s="9">
        <v>0</v>
      </c>
      <c r="J116" s="9" t="s">
        <v>15</v>
      </c>
      <c r="K116" s="9" t="s">
        <v>16</v>
      </c>
      <c r="L116" s="9">
        <v>27</v>
      </c>
      <c r="M116" s="9">
        <v>14</v>
      </c>
      <c r="N116" s="6">
        <v>13</v>
      </c>
    </row>
    <row r="117" spans="2:14">
      <c r="B117" s="5">
        <v>2015</v>
      </c>
      <c r="C117" s="14">
        <v>46312</v>
      </c>
      <c r="D117" s="9" t="s">
        <v>42</v>
      </c>
      <c r="E117" s="9">
        <v>14.5</v>
      </c>
      <c r="F117" s="9" t="s">
        <v>76</v>
      </c>
      <c r="G117" s="9">
        <v>1</v>
      </c>
      <c r="H117" s="9">
        <v>9</v>
      </c>
      <c r="I117" s="9">
        <v>0</v>
      </c>
      <c r="J117" s="9" t="s">
        <v>19</v>
      </c>
      <c r="K117" s="9" t="s">
        <v>16</v>
      </c>
      <c r="L117" s="9">
        <v>41</v>
      </c>
      <c r="M117" s="9">
        <v>23</v>
      </c>
      <c r="N117" s="6">
        <v>18</v>
      </c>
    </row>
    <row r="118" spans="2:14">
      <c r="B118" s="5">
        <v>2015</v>
      </c>
      <c r="C118" s="14">
        <v>46319</v>
      </c>
      <c r="D118" s="9" t="s">
        <v>42</v>
      </c>
      <c r="E118" s="9">
        <v>14.5</v>
      </c>
      <c r="F118" s="9" t="s">
        <v>31</v>
      </c>
      <c r="G118" s="9">
        <v>0</v>
      </c>
      <c r="H118" s="9"/>
      <c r="I118" s="9">
        <v>0</v>
      </c>
      <c r="J118" s="9" t="s">
        <v>15</v>
      </c>
      <c r="K118" s="9" t="s">
        <v>16</v>
      </c>
      <c r="L118" s="9">
        <v>19</v>
      </c>
      <c r="M118" s="9">
        <v>14</v>
      </c>
      <c r="N118" s="6">
        <v>5</v>
      </c>
    </row>
    <row r="119" spans="2:14">
      <c r="B119" s="5">
        <v>2015</v>
      </c>
      <c r="C119" s="14">
        <v>46333</v>
      </c>
      <c r="D119" s="9" t="s">
        <v>36</v>
      </c>
      <c r="E119" s="9">
        <v>19</v>
      </c>
      <c r="F119" s="9" t="s">
        <v>32</v>
      </c>
      <c r="G119" s="9">
        <v>1</v>
      </c>
      <c r="H119" s="9">
        <v>2</v>
      </c>
      <c r="I119" s="9">
        <v>0</v>
      </c>
      <c r="J119" s="9" t="s">
        <v>15</v>
      </c>
      <c r="K119" s="9" t="s">
        <v>16</v>
      </c>
      <c r="L119" s="9">
        <v>30</v>
      </c>
      <c r="M119" s="9">
        <v>16</v>
      </c>
      <c r="N119" s="6">
        <v>14</v>
      </c>
    </row>
    <row r="120" spans="2:14">
      <c r="B120" s="5">
        <v>2015</v>
      </c>
      <c r="C120" s="14">
        <v>46340</v>
      </c>
      <c r="D120" s="9" t="s">
        <v>42</v>
      </c>
      <c r="E120" s="9">
        <v>14.5</v>
      </c>
      <c r="F120" s="9" t="s">
        <v>33</v>
      </c>
      <c r="G120" s="9">
        <v>1</v>
      </c>
      <c r="H120" s="9">
        <v>17</v>
      </c>
      <c r="I120" s="9">
        <v>0</v>
      </c>
      <c r="J120" s="9" t="s">
        <v>19</v>
      </c>
      <c r="K120" s="9" t="s">
        <v>16</v>
      </c>
      <c r="L120" s="9">
        <v>31</v>
      </c>
      <c r="M120" s="9">
        <v>6</v>
      </c>
      <c r="N120" s="6">
        <v>25</v>
      </c>
    </row>
    <row r="121" spans="2:14">
      <c r="B121" s="5">
        <v>2015</v>
      </c>
      <c r="C121" s="14">
        <v>46347</v>
      </c>
      <c r="D121" s="9" t="s">
        <v>45</v>
      </c>
      <c r="E121" s="9">
        <v>15</v>
      </c>
      <c r="F121" s="9" t="s">
        <v>88</v>
      </c>
      <c r="G121" s="9">
        <v>0</v>
      </c>
      <c r="H121" s="9"/>
      <c r="I121" s="9">
        <v>1</v>
      </c>
      <c r="J121" s="9" t="s">
        <v>15</v>
      </c>
      <c r="K121" s="9" t="s">
        <v>16</v>
      </c>
      <c r="L121" s="9">
        <v>56</v>
      </c>
      <c r="M121" s="9">
        <v>6</v>
      </c>
      <c r="N121" s="6">
        <v>50</v>
      </c>
    </row>
    <row r="122" spans="2:14">
      <c r="B122" s="5">
        <v>2015</v>
      </c>
      <c r="C122" s="14">
        <v>46354</v>
      </c>
      <c r="D122" s="9" t="s">
        <v>42</v>
      </c>
      <c r="E122" s="9">
        <v>14.5</v>
      </c>
      <c r="F122" s="9" t="s">
        <v>37</v>
      </c>
      <c r="G122" s="9">
        <v>0</v>
      </c>
      <c r="H122" s="9"/>
      <c r="I122" s="9">
        <v>0</v>
      </c>
      <c r="J122" s="9" t="s">
        <v>19</v>
      </c>
      <c r="K122" s="9" t="s">
        <v>16</v>
      </c>
      <c r="L122" s="9">
        <v>29</v>
      </c>
      <c r="M122" s="9">
        <v>13</v>
      </c>
      <c r="N122" s="6">
        <v>16</v>
      </c>
    </row>
    <row r="123" spans="2:14">
      <c r="B123" s="5">
        <v>2015</v>
      </c>
      <c r="C123" s="14">
        <v>46361</v>
      </c>
      <c r="D123" s="9" t="s">
        <v>45</v>
      </c>
      <c r="E123" s="9">
        <v>15</v>
      </c>
      <c r="F123" s="9" t="s">
        <v>46</v>
      </c>
      <c r="G123" s="9">
        <v>1</v>
      </c>
      <c r="H123" s="9">
        <v>18</v>
      </c>
      <c r="I123" s="9">
        <v>0</v>
      </c>
      <c r="J123" s="9" t="s">
        <v>27</v>
      </c>
      <c r="K123" s="9" t="s">
        <v>16</v>
      </c>
      <c r="L123" s="9">
        <v>29</v>
      </c>
      <c r="M123" s="9">
        <v>15</v>
      </c>
      <c r="N123" s="6">
        <v>14</v>
      </c>
    </row>
    <row r="124" spans="2:14">
      <c r="B124" s="5">
        <v>2015</v>
      </c>
      <c r="C124" s="14">
        <v>46387</v>
      </c>
      <c r="D124" s="9" t="s">
        <v>36</v>
      </c>
      <c r="E124" s="9">
        <v>19</v>
      </c>
      <c r="F124" s="9" t="s">
        <v>66</v>
      </c>
      <c r="G124" s="9">
        <v>1</v>
      </c>
      <c r="H124" s="9">
        <v>3</v>
      </c>
      <c r="I124" s="9">
        <v>1</v>
      </c>
      <c r="J124" s="9" t="s">
        <v>27</v>
      </c>
      <c r="K124" s="9" t="s">
        <v>16</v>
      </c>
      <c r="L124" s="9">
        <v>38</v>
      </c>
      <c r="M124" s="9">
        <v>0</v>
      </c>
      <c r="N124" s="6">
        <v>38</v>
      </c>
    </row>
    <row r="125" spans="2:14">
      <c r="B125" s="5">
        <v>2015</v>
      </c>
      <c r="C125" s="15">
        <v>42380</v>
      </c>
      <c r="D125" s="9" t="s">
        <v>71</v>
      </c>
      <c r="E125" s="9">
        <v>19.5</v>
      </c>
      <c r="F125" s="9" t="s">
        <v>39</v>
      </c>
      <c r="G125" s="9">
        <v>1</v>
      </c>
      <c r="H125" s="9">
        <v>1</v>
      </c>
      <c r="I125" s="9">
        <v>1</v>
      </c>
      <c r="J125" s="9" t="s">
        <v>27</v>
      </c>
      <c r="K125" s="9" t="s">
        <v>16</v>
      </c>
      <c r="L125" s="9">
        <v>45</v>
      </c>
      <c r="M125" s="9">
        <v>40</v>
      </c>
      <c r="N125" s="6">
        <v>5</v>
      </c>
    </row>
    <row r="126" spans="2:14">
      <c r="B126" s="5">
        <v>2016</v>
      </c>
      <c r="C126" s="14">
        <v>46268</v>
      </c>
      <c r="D126" s="9" t="s">
        <v>36</v>
      </c>
      <c r="E126" s="9">
        <v>19</v>
      </c>
      <c r="F126" s="9" t="s">
        <v>89</v>
      </c>
      <c r="G126" s="9">
        <v>1</v>
      </c>
      <c r="H126" s="9">
        <v>20</v>
      </c>
      <c r="I126" s="9">
        <v>1</v>
      </c>
      <c r="J126" s="9" t="s">
        <v>27</v>
      </c>
      <c r="K126" s="9" t="s">
        <v>16</v>
      </c>
      <c r="L126" s="9">
        <v>52</v>
      </c>
      <c r="M126" s="9">
        <v>6</v>
      </c>
      <c r="N126" s="6">
        <v>46</v>
      </c>
    </row>
    <row r="127" spans="2:14">
      <c r="B127" s="5">
        <v>2016</v>
      </c>
      <c r="C127" s="14">
        <v>46275</v>
      </c>
      <c r="D127" s="9" t="s">
        <v>42</v>
      </c>
      <c r="E127" s="9">
        <v>14.5</v>
      </c>
      <c r="F127" s="9" t="s">
        <v>41</v>
      </c>
      <c r="G127" s="9">
        <v>0</v>
      </c>
      <c r="H127" s="9"/>
      <c r="I127" s="9">
        <v>1</v>
      </c>
      <c r="J127" s="9" t="s">
        <v>15</v>
      </c>
      <c r="K127" s="9" t="s">
        <v>16</v>
      </c>
      <c r="L127" s="9">
        <v>38</v>
      </c>
      <c r="M127" s="9">
        <v>10</v>
      </c>
      <c r="N127" s="6">
        <v>28</v>
      </c>
    </row>
    <row r="128" spans="2:14">
      <c r="B128" s="5">
        <v>2016</v>
      </c>
      <c r="C128" s="14">
        <v>46282</v>
      </c>
      <c r="D128" s="9" t="s">
        <v>42</v>
      </c>
      <c r="E128" s="9">
        <v>14.5</v>
      </c>
      <c r="F128" s="9" t="s">
        <v>30</v>
      </c>
      <c r="G128" s="9">
        <v>1</v>
      </c>
      <c r="H128" s="9">
        <v>19</v>
      </c>
      <c r="I128" s="9">
        <v>0</v>
      </c>
      <c r="J128" s="9" t="s">
        <v>19</v>
      </c>
      <c r="K128" s="9" t="s">
        <v>16</v>
      </c>
      <c r="L128" s="9">
        <v>48</v>
      </c>
      <c r="M128" s="9">
        <v>43</v>
      </c>
      <c r="N128" s="6">
        <v>5</v>
      </c>
    </row>
    <row r="129" spans="2:14">
      <c r="B129" s="5">
        <v>2016</v>
      </c>
      <c r="C129" s="14">
        <v>46289</v>
      </c>
      <c r="D129" s="9" t="s">
        <v>83</v>
      </c>
      <c r="E129" s="9">
        <v>11</v>
      </c>
      <c r="F129" s="9" t="s">
        <v>67</v>
      </c>
      <c r="G129" s="9">
        <v>0</v>
      </c>
      <c r="H129" s="9"/>
      <c r="I129" s="9">
        <v>1</v>
      </c>
      <c r="J129" s="9" t="s">
        <v>15</v>
      </c>
      <c r="K129" s="9" t="s">
        <v>16</v>
      </c>
      <c r="L129" s="9">
        <v>48</v>
      </c>
      <c r="M129" s="9">
        <v>0</v>
      </c>
      <c r="N129" s="6">
        <v>48</v>
      </c>
    </row>
    <row r="130" spans="2:14">
      <c r="B130" s="5">
        <v>2016</v>
      </c>
      <c r="C130" s="14">
        <v>46296</v>
      </c>
      <c r="D130" s="9" t="s">
        <v>13</v>
      </c>
      <c r="E130" s="9">
        <v>18</v>
      </c>
      <c r="F130" s="9" t="s">
        <v>43</v>
      </c>
      <c r="G130" s="9">
        <v>0</v>
      </c>
      <c r="H130" s="9"/>
      <c r="I130" s="9">
        <v>0</v>
      </c>
      <c r="J130" s="9" t="s">
        <v>15</v>
      </c>
      <c r="K130" s="9" t="s">
        <v>16</v>
      </c>
      <c r="L130" s="9">
        <v>34</v>
      </c>
      <c r="M130" s="9">
        <v>6</v>
      </c>
      <c r="N130" s="6">
        <v>28</v>
      </c>
    </row>
    <row r="131" spans="2:14">
      <c r="B131" s="5">
        <v>2016</v>
      </c>
      <c r="C131" s="14">
        <v>46303</v>
      </c>
      <c r="D131" s="9" t="s">
        <v>13</v>
      </c>
      <c r="E131" s="9">
        <v>18</v>
      </c>
      <c r="F131" s="9" t="s">
        <v>21</v>
      </c>
      <c r="G131" s="9">
        <v>1</v>
      </c>
      <c r="H131" s="9">
        <v>16</v>
      </c>
      <c r="I131" s="9">
        <v>0</v>
      </c>
      <c r="J131" s="9" t="s">
        <v>19</v>
      </c>
      <c r="K131" s="9" t="s">
        <v>16</v>
      </c>
      <c r="L131" s="9">
        <v>49</v>
      </c>
      <c r="M131" s="9">
        <v>30</v>
      </c>
      <c r="N131" s="6">
        <v>19</v>
      </c>
    </row>
    <row r="132" spans="2:14">
      <c r="B132" s="5">
        <v>2016</v>
      </c>
      <c r="C132" s="14">
        <v>46310</v>
      </c>
      <c r="D132" s="9" t="s">
        <v>42</v>
      </c>
      <c r="E132" s="9">
        <v>14.5</v>
      </c>
      <c r="F132" s="9" t="s">
        <v>31</v>
      </c>
      <c r="G132" s="9">
        <v>1</v>
      </c>
      <c r="H132" s="9">
        <v>9</v>
      </c>
      <c r="I132" s="9">
        <v>0</v>
      </c>
      <c r="J132" s="9" t="s">
        <v>19</v>
      </c>
      <c r="K132" s="9" t="s">
        <v>16</v>
      </c>
      <c r="L132" s="9">
        <v>49</v>
      </c>
      <c r="M132" s="9">
        <v>10</v>
      </c>
      <c r="N132" s="6">
        <v>39</v>
      </c>
    </row>
    <row r="133" spans="2:14">
      <c r="B133" s="5">
        <v>2016</v>
      </c>
      <c r="C133" s="14">
        <v>46317</v>
      </c>
      <c r="D133" s="9" t="s">
        <v>42</v>
      </c>
      <c r="E133" s="9">
        <v>14.5</v>
      </c>
      <c r="F133" s="9" t="s">
        <v>76</v>
      </c>
      <c r="G133" s="9">
        <v>1</v>
      </c>
      <c r="H133" s="9">
        <v>6</v>
      </c>
      <c r="I133" s="9">
        <v>0</v>
      </c>
      <c r="J133" s="9" t="s">
        <v>15</v>
      </c>
      <c r="K133" s="9" t="s">
        <v>16</v>
      </c>
      <c r="L133" s="9">
        <v>33</v>
      </c>
      <c r="M133" s="9">
        <v>14</v>
      </c>
      <c r="N133" s="6">
        <v>19</v>
      </c>
    </row>
    <row r="134" spans="2:14">
      <c r="B134" s="5">
        <v>2016</v>
      </c>
      <c r="C134" s="14">
        <v>46331</v>
      </c>
      <c r="D134" s="9" t="s">
        <v>36</v>
      </c>
      <c r="E134" s="9">
        <v>19</v>
      </c>
      <c r="F134" s="9" t="s">
        <v>32</v>
      </c>
      <c r="G134" s="9">
        <v>1</v>
      </c>
      <c r="H134" s="9">
        <v>13</v>
      </c>
      <c r="I134" s="9">
        <v>0</v>
      </c>
      <c r="J134" s="9" t="s">
        <v>19</v>
      </c>
      <c r="K134" s="9" t="s">
        <v>16</v>
      </c>
      <c r="L134" s="9">
        <v>10</v>
      </c>
      <c r="M134" s="9">
        <v>0</v>
      </c>
      <c r="N134" s="6">
        <v>10</v>
      </c>
    </row>
    <row r="135" spans="2:14">
      <c r="B135" s="5">
        <v>2016</v>
      </c>
      <c r="C135" s="14">
        <v>46338</v>
      </c>
      <c r="D135" s="9" t="s">
        <v>83</v>
      </c>
      <c r="E135" s="9">
        <v>11</v>
      </c>
      <c r="F135" s="9" t="s">
        <v>33</v>
      </c>
      <c r="G135" s="9">
        <v>0</v>
      </c>
      <c r="H135" s="9"/>
      <c r="I135" s="9">
        <v>0</v>
      </c>
      <c r="J135" s="9" t="s">
        <v>15</v>
      </c>
      <c r="K135" s="9" t="s">
        <v>16</v>
      </c>
      <c r="L135" s="9">
        <v>51</v>
      </c>
      <c r="M135" s="9">
        <v>3</v>
      </c>
      <c r="N135" s="6">
        <v>48</v>
      </c>
    </row>
    <row r="136" spans="2:14">
      <c r="B136" s="5">
        <v>2016</v>
      </c>
      <c r="C136" s="14">
        <v>46345</v>
      </c>
      <c r="D136" s="9" t="s">
        <v>13</v>
      </c>
      <c r="E136" s="9">
        <v>18</v>
      </c>
      <c r="F136" s="9" t="s">
        <v>90</v>
      </c>
      <c r="G136" s="9">
        <v>1</v>
      </c>
      <c r="H136" s="9">
        <v>12</v>
      </c>
      <c r="I136" s="9">
        <v>1</v>
      </c>
      <c r="J136" s="9" t="s">
        <v>15</v>
      </c>
      <c r="K136" s="9" t="s">
        <v>16</v>
      </c>
      <c r="L136" s="9">
        <v>31</v>
      </c>
      <c r="M136" s="9">
        <v>3</v>
      </c>
      <c r="N136" s="6">
        <v>28</v>
      </c>
    </row>
    <row r="137" spans="2:14">
      <c r="B137" s="5">
        <v>2016</v>
      </c>
      <c r="C137" s="14">
        <v>46352</v>
      </c>
      <c r="D137" s="9" t="s">
        <v>42</v>
      </c>
      <c r="E137" s="9">
        <v>14.5</v>
      </c>
      <c r="F137" s="9" t="s">
        <v>37</v>
      </c>
      <c r="G137" s="9">
        <v>1</v>
      </c>
      <c r="H137" s="9">
        <v>13</v>
      </c>
      <c r="I137" s="9">
        <v>0</v>
      </c>
      <c r="J137" s="9" t="s">
        <v>15</v>
      </c>
      <c r="K137" s="9" t="s">
        <v>16</v>
      </c>
      <c r="L137" s="9">
        <v>30</v>
      </c>
      <c r="M137" s="9">
        <v>12</v>
      </c>
      <c r="N137" s="6">
        <v>18</v>
      </c>
    </row>
    <row r="138" spans="2:14">
      <c r="B138" s="5">
        <v>2016</v>
      </c>
      <c r="C138" s="14">
        <v>46359</v>
      </c>
      <c r="D138" s="9" t="s">
        <v>45</v>
      </c>
      <c r="E138" s="9">
        <v>15</v>
      </c>
      <c r="F138" s="9" t="s">
        <v>46</v>
      </c>
      <c r="G138" s="9">
        <v>1</v>
      </c>
      <c r="H138" s="9">
        <v>15</v>
      </c>
      <c r="I138" s="9">
        <v>0</v>
      </c>
      <c r="J138" s="9" t="s">
        <v>27</v>
      </c>
      <c r="K138" s="9" t="s">
        <v>16</v>
      </c>
      <c r="L138" s="9">
        <v>54</v>
      </c>
      <c r="M138" s="9">
        <v>16</v>
      </c>
      <c r="N138" s="6">
        <v>38</v>
      </c>
    </row>
    <row r="139" spans="2:14">
      <c r="B139" s="5">
        <v>2016</v>
      </c>
      <c r="C139" s="14">
        <v>46387</v>
      </c>
      <c r="D139" s="9" t="s">
        <v>28</v>
      </c>
      <c r="E139" s="9">
        <v>14</v>
      </c>
      <c r="F139" s="9" t="s">
        <v>91</v>
      </c>
      <c r="G139" s="9">
        <v>1</v>
      </c>
      <c r="H139" s="9">
        <v>4</v>
      </c>
      <c r="I139" s="9">
        <v>1</v>
      </c>
      <c r="J139" s="9" t="s">
        <v>27</v>
      </c>
      <c r="K139" s="9" t="s">
        <v>16</v>
      </c>
      <c r="L139" s="9">
        <v>24</v>
      </c>
      <c r="M139" s="9">
        <v>7</v>
      </c>
      <c r="N139" s="6">
        <v>17</v>
      </c>
    </row>
    <row r="140" spans="2:14">
      <c r="B140" s="5">
        <v>2016</v>
      </c>
      <c r="C140" s="15">
        <v>42744</v>
      </c>
      <c r="D140" s="9" t="s">
        <v>36</v>
      </c>
      <c r="E140" s="9">
        <v>19</v>
      </c>
      <c r="F140" s="9" t="s">
        <v>39</v>
      </c>
      <c r="G140" s="9">
        <v>1</v>
      </c>
      <c r="H140" s="9">
        <v>2</v>
      </c>
      <c r="I140" s="9">
        <v>1</v>
      </c>
      <c r="J140" s="9" t="s">
        <v>27</v>
      </c>
      <c r="K140" s="9" t="s">
        <v>24</v>
      </c>
      <c r="L140" s="9">
        <v>31</v>
      </c>
      <c r="M140" s="9">
        <v>35</v>
      </c>
      <c r="N140" s="6">
        <v>-4</v>
      </c>
    </row>
    <row r="141" spans="2:14">
      <c r="B141" s="5">
        <v>2017</v>
      </c>
      <c r="C141" s="14">
        <v>46267</v>
      </c>
      <c r="D141" s="9" t="s">
        <v>36</v>
      </c>
      <c r="E141" s="9">
        <v>19</v>
      </c>
      <c r="F141" s="9" t="s">
        <v>26</v>
      </c>
      <c r="G141" s="9">
        <v>1</v>
      </c>
      <c r="H141" s="9">
        <v>3</v>
      </c>
      <c r="I141" s="9">
        <v>1</v>
      </c>
      <c r="J141" s="9" t="s">
        <v>27</v>
      </c>
      <c r="K141" s="9" t="s">
        <v>16</v>
      </c>
      <c r="L141" s="9">
        <v>24</v>
      </c>
      <c r="M141" s="9">
        <v>7</v>
      </c>
      <c r="N141" s="6">
        <v>17</v>
      </c>
    </row>
    <row r="142" spans="2:14">
      <c r="B142" s="5">
        <v>2017</v>
      </c>
      <c r="C142" s="14">
        <v>46274</v>
      </c>
      <c r="D142" s="9" t="s">
        <v>42</v>
      </c>
      <c r="E142" s="9">
        <v>14.5</v>
      </c>
      <c r="F142" s="9" t="s">
        <v>92</v>
      </c>
      <c r="G142" s="9">
        <v>0</v>
      </c>
      <c r="H142" s="9"/>
      <c r="I142" s="9">
        <v>1</v>
      </c>
      <c r="J142" s="9" t="s">
        <v>15</v>
      </c>
      <c r="K142" s="9" t="s">
        <v>16</v>
      </c>
      <c r="L142" s="9">
        <v>41</v>
      </c>
      <c r="M142" s="9">
        <v>10</v>
      </c>
      <c r="N142" s="6">
        <v>31</v>
      </c>
    </row>
    <row r="143" spans="2:14">
      <c r="B143" s="5">
        <v>2017</v>
      </c>
      <c r="C143" s="14">
        <v>46281</v>
      </c>
      <c r="D143" s="9" t="s">
        <v>13</v>
      </c>
      <c r="E143" s="9">
        <v>18</v>
      </c>
      <c r="F143" s="9" t="s">
        <v>79</v>
      </c>
      <c r="G143" s="9">
        <v>0</v>
      </c>
      <c r="H143" s="9"/>
      <c r="I143" s="9">
        <v>1</v>
      </c>
      <c r="J143" s="9" t="s">
        <v>15</v>
      </c>
      <c r="K143" s="9" t="s">
        <v>16</v>
      </c>
      <c r="L143" s="9">
        <v>41</v>
      </c>
      <c r="M143" s="9">
        <v>23</v>
      </c>
      <c r="N143" s="6">
        <v>18</v>
      </c>
    </row>
    <row r="144" spans="2:14">
      <c r="B144" s="5">
        <v>2017</v>
      </c>
      <c r="C144" s="14">
        <v>46288</v>
      </c>
      <c r="D144" s="9" t="s">
        <v>42</v>
      </c>
      <c r="E144" s="9">
        <v>14.5</v>
      </c>
      <c r="F144" s="9" t="s">
        <v>18</v>
      </c>
      <c r="G144" s="9">
        <v>0</v>
      </c>
      <c r="H144" s="9"/>
      <c r="I144" s="9">
        <v>0</v>
      </c>
      <c r="J144" s="9" t="s">
        <v>19</v>
      </c>
      <c r="K144" s="9" t="s">
        <v>16</v>
      </c>
      <c r="L144" s="9">
        <v>59</v>
      </c>
      <c r="M144" s="9">
        <v>0</v>
      </c>
      <c r="N144" s="6">
        <v>59</v>
      </c>
    </row>
    <row r="145" spans="2:14">
      <c r="B145" s="5">
        <v>2017</v>
      </c>
      <c r="C145" s="14">
        <v>46295</v>
      </c>
      <c r="D145" s="9" t="s">
        <v>93</v>
      </c>
      <c r="E145" s="9">
        <v>20</v>
      </c>
      <c r="F145" s="9" t="s">
        <v>30</v>
      </c>
      <c r="G145" s="9">
        <v>0</v>
      </c>
      <c r="H145" s="9"/>
      <c r="I145" s="9">
        <v>0</v>
      </c>
      <c r="J145" s="9" t="s">
        <v>15</v>
      </c>
      <c r="K145" s="9" t="s">
        <v>16</v>
      </c>
      <c r="L145" s="9">
        <v>66</v>
      </c>
      <c r="M145" s="9">
        <v>3</v>
      </c>
      <c r="N145" s="6">
        <v>63</v>
      </c>
    </row>
    <row r="146" spans="2:14">
      <c r="B146" s="5">
        <v>2017</v>
      </c>
      <c r="C146" s="14">
        <v>46302</v>
      </c>
      <c r="D146" s="9" t="s">
        <v>62</v>
      </c>
      <c r="E146" s="9">
        <v>18.25</v>
      </c>
      <c r="F146" s="9" t="s">
        <v>76</v>
      </c>
      <c r="G146" s="9">
        <v>0</v>
      </c>
      <c r="H146" s="9"/>
      <c r="I146" s="9">
        <v>0</v>
      </c>
      <c r="J146" s="9" t="s">
        <v>19</v>
      </c>
      <c r="K146" s="9" t="s">
        <v>16</v>
      </c>
      <c r="L146" s="9">
        <v>27</v>
      </c>
      <c r="M146" s="9">
        <v>19</v>
      </c>
      <c r="N146" s="6">
        <v>8</v>
      </c>
    </row>
    <row r="147" spans="2:14">
      <c r="B147" s="5">
        <v>2017</v>
      </c>
      <c r="C147" s="14">
        <v>46309</v>
      </c>
      <c r="D147" s="9" t="s">
        <v>62</v>
      </c>
      <c r="E147" s="9">
        <v>18.25</v>
      </c>
      <c r="F147" s="9" t="s">
        <v>21</v>
      </c>
      <c r="G147" s="9">
        <v>0</v>
      </c>
      <c r="H147" s="9"/>
      <c r="I147" s="9">
        <v>0</v>
      </c>
      <c r="J147" s="9" t="s">
        <v>15</v>
      </c>
      <c r="K147" s="9" t="s">
        <v>16</v>
      </c>
      <c r="L147" s="9">
        <v>41</v>
      </c>
      <c r="M147" s="9">
        <v>9</v>
      </c>
      <c r="N147" s="6">
        <v>32</v>
      </c>
    </row>
    <row r="148" spans="2:14">
      <c r="B148" s="5">
        <v>2017</v>
      </c>
      <c r="C148" s="14">
        <v>46316</v>
      </c>
      <c r="D148" s="9" t="s">
        <v>42</v>
      </c>
      <c r="E148" s="9">
        <v>14.5</v>
      </c>
      <c r="F148" s="9" t="s">
        <v>31</v>
      </c>
      <c r="G148" s="9">
        <v>0</v>
      </c>
      <c r="H148" s="9"/>
      <c r="I148" s="9">
        <v>0</v>
      </c>
      <c r="J148" s="9" t="s">
        <v>15</v>
      </c>
      <c r="K148" s="9" t="s">
        <v>16</v>
      </c>
      <c r="L148" s="9">
        <v>45</v>
      </c>
      <c r="M148" s="9">
        <v>7</v>
      </c>
      <c r="N148" s="6">
        <v>38</v>
      </c>
    </row>
    <row r="149" spans="2:14">
      <c r="B149" s="5">
        <v>2017</v>
      </c>
      <c r="C149" s="14">
        <v>46330</v>
      </c>
      <c r="D149" s="9" t="s">
        <v>36</v>
      </c>
      <c r="E149" s="9">
        <v>19</v>
      </c>
      <c r="F149" s="9" t="s">
        <v>32</v>
      </c>
      <c r="G149" s="9">
        <v>1</v>
      </c>
      <c r="H149" s="9">
        <v>19</v>
      </c>
      <c r="I149" s="9">
        <v>0</v>
      </c>
      <c r="J149" s="9" t="s">
        <v>15</v>
      </c>
      <c r="K149" s="9" t="s">
        <v>16</v>
      </c>
      <c r="L149" s="9">
        <v>24</v>
      </c>
      <c r="M149" s="9">
        <v>10</v>
      </c>
      <c r="N149" s="6">
        <v>14</v>
      </c>
    </row>
    <row r="150" spans="2:14">
      <c r="B150" s="5">
        <v>2017</v>
      </c>
      <c r="C150" s="14">
        <v>46337</v>
      </c>
      <c r="D150" s="9" t="s">
        <v>13</v>
      </c>
      <c r="E150" s="9">
        <v>18</v>
      </c>
      <c r="F150" s="9" t="s">
        <v>33</v>
      </c>
      <c r="G150" s="9">
        <v>1</v>
      </c>
      <c r="H150" s="9">
        <v>16</v>
      </c>
      <c r="I150" s="9">
        <v>0</v>
      </c>
      <c r="J150" s="9" t="s">
        <v>19</v>
      </c>
      <c r="K150" s="9" t="s">
        <v>16</v>
      </c>
      <c r="L150" s="9">
        <v>31</v>
      </c>
      <c r="M150" s="9">
        <v>24</v>
      </c>
      <c r="N150" s="6">
        <v>7</v>
      </c>
    </row>
    <row r="151" spans="2:14">
      <c r="B151" s="5">
        <v>2017</v>
      </c>
      <c r="C151" s="14">
        <v>46344</v>
      </c>
      <c r="D151" s="9" t="s">
        <v>83</v>
      </c>
      <c r="E151" s="9">
        <v>11</v>
      </c>
      <c r="F151" s="9" t="s">
        <v>94</v>
      </c>
      <c r="G151" s="9">
        <v>0</v>
      </c>
      <c r="H151" s="9"/>
      <c r="I151" s="9">
        <v>1</v>
      </c>
      <c r="J151" s="9" t="s">
        <v>15</v>
      </c>
      <c r="K151" s="9" t="s">
        <v>16</v>
      </c>
      <c r="L151" s="9">
        <v>56</v>
      </c>
      <c r="M151" s="9">
        <v>0</v>
      </c>
      <c r="N151" s="6">
        <v>56</v>
      </c>
    </row>
    <row r="152" spans="2:14">
      <c r="B152" s="5">
        <v>2017</v>
      </c>
      <c r="C152" s="14">
        <v>46351</v>
      </c>
      <c r="D152" s="9" t="s">
        <v>42</v>
      </c>
      <c r="E152" s="9">
        <v>14.5</v>
      </c>
      <c r="F152" s="9" t="s">
        <v>37</v>
      </c>
      <c r="G152" s="9">
        <v>1</v>
      </c>
      <c r="H152" s="9">
        <v>6</v>
      </c>
      <c r="I152" s="9">
        <v>0</v>
      </c>
      <c r="J152" s="9" t="s">
        <v>19</v>
      </c>
      <c r="K152" s="9" t="s">
        <v>24</v>
      </c>
      <c r="L152" s="9">
        <v>14</v>
      </c>
      <c r="M152" s="9">
        <v>26</v>
      </c>
      <c r="N152" s="6">
        <v>-12</v>
      </c>
    </row>
    <row r="153" spans="2:14">
      <c r="B153" s="5">
        <v>2017</v>
      </c>
      <c r="C153" s="15">
        <v>43101</v>
      </c>
      <c r="D153" s="9" t="s">
        <v>75</v>
      </c>
      <c r="E153" s="9">
        <v>19.75</v>
      </c>
      <c r="F153" s="9" t="s">
        <v>39</v>
      </c>
      <c r="G153" s="9">
        <v>1</v>
      </c>
      <c r="H153" s="9">
        <v>1</v>
      </c>
      <c r="I153" s="9">
        <v>1</v>
      </c>
      <c r="J153" s="9" t="s">
        <v>27</v>
      </c>
      <c r="K153" s="9" t="s">
        <v>16</v>
      </c>
      <c r="L153" s="9">
        <v>24</v>
      </c>
      <c r="M153" s="9">
        <v>6</v>
      </c>
      <c r="N153" s="6">
        <v>18</v>
      </c>
    </row>
    <row r="154" spans="2:14">
      <c r="B154" s="5">
        <v>2017</v>
      </c>
      <c r="C154" s="15">
        <v>43108</v>
      </c>
      <c r="D154" s="9" t="s">
        <v>71</v>
      </c>
      <c r="E154" s="9">
        <v>19.5</v>
      </c>
      <c r="F154" s="9" t="s">
        <v>23</v>
      </c>
      <c r="G154" s="9">
        <v>1</v>
      </c>
      <c r="H154" s="9">
        <v>3</v>
      </c>
      <c r="I154" s="9">
        <v>0</v>
      </c>
      <c r="J154" s="9" t="s">
        <v>27</v>
      </c>
      <c r="K154" s="9" t="s">
        <v>16</v>
      </c>
      <c r="L154" s="9">
        <v>26</v>
      </c>
      <c r="M154" s="9">
        <v>23</v>
      </c>
      <c r="N154" s="6">
        <v>3</v>
      </c>
    </row>
    <row r="155" spans="2:14">
      <c r="B155" s="5">
        <v>2018</v>
      </c>
      <c r="C155" s="14">
        <v>46266</v>
      </c>
      <c r="D155" s="9" t="s">
        <v>36</v>
      </c>
      <c r="E155" s="9">
        <v>19</v>
      </c>
      <c r="F155" s="9" t="s">
        <v>95</v>
      </c>
      <c r="G155" s="9">
        <v>0</v>
      </c>
      <c r="H155" s="9"/>
      <c r="I155" s="9">
        <v>1</v>
      </c>
      <c r="J155" s="9" t="s">
        <v>27</v>
      </c>
      <c r="K155" s="9" t="s">
        <v>16</v>
      </c>
      <c r="L155" s="9">
        <v>51</v>
      </c>
      <c r="M155" s="9">
        <v>14</v>
      </c>
      <c r="N155" s="6">
        <v>37</v>
      </c>
    </row>
    <row r="156" spans="2:14">
      <c r="B156" s="5">
        <v>2018</v>
      </c>
      <c r="C156" s="14">
        <v>46273</v>
      </c>
      <c r="D156" s="9" t="s">
        <v>42</v>
      </c>
      <c r="E156" s="9">
        <v>14.5</v>
      </c>
      <c r="F156" s="9" t="s">
        <v>44</v>
      </c>
      <c r="G156" s="9">
        <v>0</v>
      </c>
      <c r="H156" s="9"/>
      <c r="I156" s="9">
        <v>1</v>
      </c>
      <c r="J156" s="9" t="s">
        <v>15</v>
      </c>
      <c r="K156" s="9" t="s">
        <v>16</v>
      </c>
      <c r="L156" s="9">
        <v>57</v>
      </c>
      <c r="M156" s="9">
        <v>7</v>
      </c>
      <c r="N156" s="6">
        <v>50</v>
      </c>
    </row>
    <row r="157" spans="2:14">
      <c r="B157" s="5">
        <v>2018</v>
      </c>
      <c r="C157" s="14">
        <v>46280</v>
      </c>
      <c r="D157" s="9" t="s">
        <v>13</v>
      </c>
      <c r="E157" s="9">
        <v>18</v>
      </c>
      <c r="F157" s="9" t="s">
        <v>30</v>
      </c>
      <c r="G157" s="9">
        <v>0</v>
      </c>
      <c r="H157" s="9"/>
      <c r="I157" s="9">
        <v>0</v>
      </c>
      <c r="J157" s="9" t="s">
        <v>19</v>
      </c>
      <c r="K157" s="9" t="s">
        <v>16</v>
      </c>
      <c r="L157" s="9">
        <v>62</v>
      </c>
      <c r="M157" s="9">
        <v>7</v>
      </c>
      <c r="N157" s="6">
        <v>55</v>
      </c>
    </row>
    <row r="158" spans="2:14">
      <c r="B158" s="5">
        <v>2018</v>
      </c>
      <c r="C158" s="14">
        <v>46287</v>
      </c>
      <c r="D158" s="9" t="s">
        <v>42</v>
      </c>
      <c r="E158" s="9">
        <v>14.5</v>
      </c>
      <c r="F158" s="9" t="s">
        <v>76</v>
      </c>
      <c r="G158" s="9">
        <v>1</v>
      </c>
      <c r="H158" s="9">
        <v>22</v>
      </c>
      <c r="I158" s="9">
        <v>0</v>
      </c>
      <c r="J158" s="9" t="s">
        <v>15</v>
      </c>
      <c r="K158" s="9" t="s">
        <v>16</v>
      </c>
      <c r="L158" s="9">
        <v>45</v>
      </c>
      <c r="M158" s="9">
        <v>23</v>
      </c>
      <c r="N158" s="6">
        <v>22</v>
      </c>
    </row>
    <row r="159" spans="2:14">
      <c r="B159" s="5">
        <v>2018</v>
      </c>
      <c r="C159" s="14">
        <v>46294</v>
      </c>
      <c r="D159" s="9" t="s">
        <v>83</v>
      </c>
      <c r="E159" s="9">
        <v>11</v>
      </c>
      <c r="F159" s="9" t="s">
        <v>96</v>
      </c>
      <c r="G159" s="9">
        <v>0</v>
      </c>
      <c r="H159" s="9"/>
      <c r="I159" s="9">
        <v>1</v>
      </c>
      <c r="J159" s="9" t="s">
        <v>15</v>
      </c>
      <c r="K159" s="9" t="s">
        <v>16</v>
      </c>
      <c r="L159" s="9">
        <v>56</v>
      </c>
      <c r="M159" s="9">
        <v>14</v>
      </c>
      <c r="N159" s="6">
        <v>42</v>
      </c>
    </row>
    <row r="160" spans="2:14">
      <c r="B160" s="5">
        <v>2018</v>
      </c>
      <c r="C160" s="14">
        <v>46301</v>
      </c>
      <c r="D160" s="9" t="s">
        <v>83</v>
      </c>
      <c r="E160" s="9">
        <v>11</v>
      </c>
      <c r="F160" s="9" t="s">
        <v>21</v>
      </c>
      <c r="G160" s="9">
        <v>0</v>
      </c>
      <c r="H160" s="9"/>
      <c r="I160" s="9">
        <v>0</v>
      </c>
      <c r="J160" s="9" t="s">
        <v>19</v>
      </c>
      <c r="K160" s="9" t="s">
        <v>16</v>
      </c>
      <c r="L160" s="9">
        <v>65</v>
      </c>
      <c r="M160" s="9">
        <v>31</v>
      </c>
      <c r="N160" s="6">
        <v>34</v>
      </c>
    </row>
    <row r="161" spans="2:14">
      <c r="B161" s="5">
        <v>2018</v>
      </c>
      <c r="C161" s="14">
        <v>46308</v>
      </c>
      <c r="D161" s="9" t="s">
        <v>13</v>
      </c>
      <c r="E161" s="9">
        <v>18</v>
      </c>
      <c r="F161" s="9" t="s">
        <v>74</v>
      </c>
      <c r="G161" s="9">
        <v>0</v>
      </c>
      <c r="H161" s="9"/>
      <c r="I161" s="9">
        <v>0</v>
      </c>
      <c r="J161" s="9" t="s">
        <v>15</v>
      </c>
      <c r="K161" s="9" t="s">
        <v>16</v>
      </c>
      <c r="L161" s="9">
        <v>39</v>
      </c>
      <c r="M161" s="9">
        <v>10</v>
      </c>
      <c r="N161" s="6">
        <v>29</v>
      </c>
    </row>
    <row r="162" spans="2:14">
      <c r="B162" s="5">
        <v>2018</v>
      </c>
      <c r="C162" s="14">
        <v>46315</v>
      </c>
      <c r="D162" s="9" t="s">
        <v>42</v>
      </c>
      <c r="E162" s="9">
        <v>14.5</v>
      </c>
      <c r="F162" s="9" t="s">
        <v>31</v>
      </c>
      <c r="G162" s="9">
        <v>0</v>
      </c>
      <c r="H162" s="9"/>
      <c r="I162" s="9">
        <v>0</v>
      </c>
      <c r="J162" s="9" t="s">
        <v>19</v>
      </c>
      <c r="K162" s="9" t="s">
        <v>16</v>
      </c>
      <c r="L162" s="9">
        <v>58</v>
      </c>
      <c r="M162" s="9">
        <v>21</v>
      </c>
      <c r="N162" s="6">
        <v>37</v>
      </c>
    </row>
    <row r="163" spans="2:14">
      <c r="B163" s="5">
        <v>2018</v>
      </c>
      <c r="C163" s="14">
        <v>46329</v>
      </c>
      <c r="D163" s="9" t="s">
        <v>36</v>
      </c>
      <c r="E163" s="9">
        <v>19</v>
      </c>
      <c r="F163" s="9" t="s">
        <v>32</v>
      </c>
      <c r="G163" s="9">
        <v>1</v>
      </c>
      <c r="H163" s="9">
        <v>3</v>
      </c>
      <c r="I163" s="9">
        <v>0</v>
      </c>
      <c r="J163" s="9" t="s">
        <v>19</v>
      </c>
      <c r="K163" s="9" t="s">
        <v>16</v>
      </c>
      <c r="L163" s="9">
        <v>29</v>
      </c>
      <c r="M163" s="9">
        <v>0</v>
      </c>
      <c r="N163" s="6">
        <v>29</v>
      </c>
    </row>
    <row r="164" spans="2:14">
      <c r="B164" s="5">
        <v>2018</v>
      </c>
      <c r="C164" s="14">
        <v>46336</v>
      </c>
      <c r="D164" s="9" t="s">
        <v>42</v>
      </c>
      <c r="E164" s="9">
        <v>14.5</v>
      </c>
      <c r="F164" s="9" t="s">
        <v>33</v>
      </c>
      <c r="G164" s="9">
        <v>1</v>
      </c>
      <c r="H164" s="9">
        <v>16</v>
      </c>
      <c r="I164" s="9">
        <v>0</v>
      </c>
      <c r="J164" s="9" t="s">
        <v>15</v>
      </c>
      <c r="K164" s="9" t="s">
        <v>16</v>
      </c>
      <c r="L164" s="9">
        <v>24</v>
      </c>
      <c r="M164" s="9">
        <v>0</v>
      </c>
      <c r="N164" s="6">
        <v>24</v>
      </c>
    </row>
    <row r="165" spans="2:14">
      <c r="B165" s="5">
        <v>2018</v>
      </c>
      <c r="C165" s="14">
        <v>46343</v>
      </c>
      <c r="D165" s="9" t="s">
        <v>83</v>
      </c>
      <c r="E165" s="9">
        <v>11</v>
      </c>
      <c r="F165" s="9" t="s">
        <v>97</v>
      </c>
      <c r="G165" s="9">
        <v>0</v>
      </c>
      <c r="H165" s="9"/>
      <c r="I165" s="9">
        <v>1</v>
      </c>
      <c r="J165" s="9" t="s">
        <v>15</v>
      </c>
      <c r="K165" s="9" t="s">
        <v>16</v>
      </c>
      <c r="L165" s="9">
        <v>50</v>
      </c>
      <c r="M165" s="9">
        <v>17</v>
      </c>
      <c r="N165" s="6">
        <v>33</v>
      </c>
    </row>
    <row r="166" spans="2:14">
      <c r="B166" s="5">
        <v>2018</v>
      </c>
      <c r="C166" s="14">
        <v>46350</v>
      </c>
      <c r="D166" s="9" t="s">
        <v>42</v>
      </c>
      <c r="E166" s="9">
        <v>14.5</v>
      </c>
      <c r="F166" s="9" t="s">
        <v>37</v>
      </c>
      <c r="G166" s="9">
        <v>0</v>
      </c>
      <c r="H166" s="9"/>
      <c r="I166" s="9">
        <v>0</v>
      </c>
      <c r="J166" s="9" t="s">
        <v>15</v>
      </c>
      <c r="K166" s="9" t="s">
        <v>16</v>
      </c>
      <c r="L166" s="9">
        <v>52</v>
      </c>
      <c r="M166" s="9">
        <v>21</v>
      </c>
      <c r="N166" s="6">
        <v>31</v>
      </c>
    </row>
    <row r="167" spans="2:14">
      <c r="B167" s="5">
        <v>2018</v>
      </c>
      <c r="C167" s="14">
        <v>46357</v>
      </c>
      <c r="D167" s="9" t="s">
        <v>45</v>
      </c>
      <c r="E167" s="9">
        <v>15</v>
      </c>
      <c r="F167" s="9" t="s">
        <v>23</v>
      </c>
      <c r="G167" s="9">
        <v>1</v>
      </c>
      <c r="H167" s="9">
        <v>4</v>
      </c>
      <c r="I167" s="9">
        <v>0</v>
      </c>
      <c r="J167" s="9" t="s">
        <v>27</v>
      </c>
      <c r="K167" s="9" t="s">
        <v>16</v>
      </c>
      <c r="L167" s="9">
        <v>35</v>
      </c>
      <c r="M167" s="9">
        <v>28</v>
      </c>
      <c r="N167" s="6">
        <v>7</v>
      </c>
    </row>
    <row r="168" spans="2:14">
      <c r="B168" s="5">
        <v>2018</v>
      </c>
      <c r="C168" s="14">
        <v>46385</v>
      </c>
      <c r="D168" s="9" t="s">
        <v>36</v>
      </c>
      <c r="E168" s="9">
        <v>19</v>
      </c>
      <c r="F168" s="9" t="s">
        <v>81</v>
      </c>
      <c r="G168" s="9">
        <v>1</v>
      </c>
      <c r="H168" s="9">
        <v>4</v>
      </c>
      <c r="I168" s="9">
        <v>1</v>
      </c>
      <c r="J168" s="9" t="s">
        <v>27</v>
      </c>
      <c r="K168" s="9" t="s">
        <v>16</v>
      </c>
      <c r="L168" s="9">
        <v>45</v>
      </c>
      <c r="M168" s="9">
        <v>34</v>
      </c>
      <c r="N168" s="6">
        <v>11</v>
      </c>
    </row>
    <row r="169" spans="2:14">
      <c r="B169" s="5">
        <v>2018</v>
      </c>
      <c r="C169" s="15">
        <v>43472</v>
      </c>
      <c r="D169" s="9" t="s">
        <v>36</v>
      </c>
      <c r="E169" s="9">
        <v>19</v>
      </c>
      <c r="F169" s="9" t="s">
        <v>39</v>
      </c>
      <c r="G169" s="9">
        <v>1</v>
      </c>
      <c r="H169" s="9">
        <v>2</v>
      </c>
      <c r="I169" s="9">
        <v>1</v>
      </c>
      <c r="J169" s="9" t="s">
        <v>27</v>
      </c>
      <c r="K169" s="9" t="s">
        <v>24</v>
      </c>
      <c r="L169" s="9">
        <v>16</v>
      </c>
      <c r="M169" s="9">
        <v>44</v>
      </c>
      <c r="N169" s="6">
        <v>-28</v>
      </c>
    </row>
    <row r="170" spans="2:14">
      <c r="B170" s="5">
        <v>2019</v>
      </c>
      <c r="C170" s="14">
        <v>46265</v>
      </c>
      <c r="D170" s="9" t="s">
        <v>42</v>
      </c>
      <c r="E170" s="9">
        <v>14.5</v>
      </c>
      <c r="F170" s="9" t="s">
        <v>60</v>
      </c>
      <c r="G170" s="9">
        <v>0</v>
      </c>
      <c r="H170" s="9"/>
      <c r="I170" s="9">
        <v>1</v>
      </c>
      <c r="J170" s="9" t="s">
        <v>27</v>
      </c>
      <c r="K170" s="9" t="s">
        <v>16</v>
      </c>
      <c r="L170" s="9">
        <v>42</v>
      </c>
      <c r="M170" s="9">
        <v>3</v>
      </c>
      <c r="N170" s="6">
        <v>39</v>
      </c>
    </row>
    <row r="171" spans="2:14">
      <c r="B171" s="5">
        <v>2019</v>
      </c>
      <c r="C171" s="14">
        <v>46272</v>
      </c>
      <c r="D171" s="9" t="s">
        <v>45</v>
      </c>
      <c r="E171" s="9">
        <v>15</v>
      </c>
      <c r="F171" s="9" t="s">
        <v>98</v>
      </c>
      <c r="G171" s="9">
        <v>0</v>
      </c>
      <c r="H171" s="9"/>
      <c r="I171" s="9">
        <v>1</v>
      </c>
      <c r="J171" s="9" t="s">
        <v>15</v>
      </c>
      <c r="K171" s="9" t="s">
        <v>16</v>
      </c>
      <c r="L171" s="9">
        <v>62</v>
      </c>
      <c r="M171" s="9">
        <v>10</v>
      </c>
      <c r="N171" s="6">
        <v>52</v>
      </c>
    </row>
    <row r="172" spans="2:14">
      <c r="B172" s="5">
        <v>2019</v>
      </c>
      <c r="C172" s="14">
        <v>46279</v>
      </c>
      <c r="D172" s="9" t="s">
        <v>42</v>
      </c>
      <c r="E172" s="9">
        <v>14.5</v>
      </c>
      <c r="F172" s="9" t="s">
        <v>54</v>
      </c>
      <c r="G172" s="9">
        <v>0</v>
      </c>
      <c r="H172" s="9"/>
      <c r="I172" s="9">
        <v>0</v>
      </c>
      <c r="J172" s="9" t="s">
        <v>19</v>
      </c>
      <c r="K172" s="9" t="s">
        <v>16</v>
      </c>
      <c r="L172" s="9">
        <v>47</v>
      </c>
      <c r="M172" s="9">
        <v>23</v>
      </c>
      <c r="N172" s="6">
        <v>24</v>
      </c>
    </row>
    <row r="173" spans="2:14">
      <c r="B173" s="5">
        <v>2019</v>
      </c>
      <c r="C173" s="14">
        <v>46286</v>
      </c>
      <c r="D173" s="9" t="s">
        <v>83</v>
      </c>
      <c r="E173" s="9">
        <v>11</v>
      </c>
      <c r="F173" s="9" t="s">
        <v>84</v>
      </c>
      <c r="G173" s="9">
        <v>0</v>
      </c>
      <c r="H173" s="9"/>
      <c r="I173" s="9">
        <v>1</v>
      </c>
      <c r="J173" s="9" t="s">
        <v>15</v>
      </c>
      <c r="K173" s="9" t="s">
        <v>16</v>
      </c>
      <c r="L173" s="9">
        <v>49</v>
      </c>
      <c r="M173" s="9">
        <v>7</v>
      </c>
      <c r="N173" s="6">
        <v>42</v>
      </c>
    </row>
    <row r="174" spans="2:14">
      <c r="B174" s="5">
        <v>2019</v>
      </c>
      <c r="C174" s="14">
        <v>46293</v>
      </c>
      <c r="D174" s="9" t="s">
        <v>42</v>
      </c>
      <c r="E174" s="9">
        <v>14.5</v>
      </c>
      <c r="F174" s="9" t="s">
        <v>30</v>
      </c>
      <c r="G174" s="9">
        <v>0</v>
      </c>
      <c r="H174" s="9"/>
      <c r="I174" s="9">
        <v>0</v>
      </c>
      <c r="J174" s="9" t="s">
        <v>15</v>
      </c>
      <c r="K174" s="9" t="s">
        <v>16</v>
      </c>
      <c r="L174" s="9">
        <v>59</v>
      </c>
      <c r="M174" s="9">
        <v>31</v>
      </c>
      <c r="N174" s="6">
        <v>28</v>
      </c>
    </row>
    <row r="175" spans="2:14">
      <c r="B175" s="5">
        <v>2019</v>
      </c>
      <c r="C175" s="14">
        <v>46307</v>
      </c>
      <c r="D175" s="9" t="s">
        <v>42</v>
      </c>
      <c r="E175" s="9">
        <v>14.5</v>
      </c>
      <c r="F175" s="9" t="s">
        <v>76</v>
      </c>
      <c r="G175" s="9">
        <v>1</v>
      </c>
      <c r="H175" s="9">
        <v>24</v>
      </c>
      <c r="I175" s="9">
        <v>0</v>
      </c>
      <c r="J175" s="9" t="s">
        <v>19</v>
      </c>
      <c r="K175" s="9" t="s">
        <v>16</v>
      </c>
      <c r="L175" s="9">
        <v>47</v>
      </c>
      <c r="M175" s="9">
        <v>28</v>
      </c>
      <c r="N175" s="6">
        <v>19</v>
      </c>
    </row>
    <row r="176" spans="2:14">
      <c r="B176" s="5">
        <v>2019</v>
      </c>
      <c r="C176" s="14">
        <v>46314</v>
      </c>
      <c r="D176" s="9" t="s">
        <v>93</v>
      </c>
      <c r="E176" s="9">
        <v>20</v>
      </c>
      <c r="F176" s="9" t="s">
        <v>31</v>
      </c>
      <c r="G176" s="9">
        <v>0</v>
      </c>
      <c r="H176" s="9"/>
      <c r="I176" s="9">
        <v>0</v>
      </c>
      <c r="J176" s="9" t="s">
        <v>15</v>
      </c>
      <c r="K176" s="9" t="s">
        <v>16</v>
      </c>
      <c r="L176" s="9">
        <v>35</v>
      </c>
      <c r="M176" s="9">
        <v>13</v>
      </c>
      <c r="N176" s="6">
        <v>22</v>
      </c>
    </row>
    <row r="177" spans="2:14">
      <c r="B177" s="5">
        <v>2019</v>
      </c>
      <c r="C177" s="14">
        <v>46321</v>
      </c>
      <c r="D177" s="9" t="s">
        <v>13</v>
      </c>
      <c r="E177" s="9">
        <v>18</v>
      </c>
      <c r="F177" s="9" t="s">
        <v>21</v>
      </c>
      <c r="G177" s="9">
        <v>0</v>
      </c>
      <c r="H177" s="9"/>
      <c r="I177" s="9">
        <v>0</v>
      </c>
      <c r="J177" s="9" t="s">
        <v>15</v>
      </c>
      <c r="K177" s="9" t="s">
        <v>16</v>
      </c>
      <c r="L177" s="9">
        <v>48</v>
      </c>
      <c r="M177" s="9">
        <v>7</v>
      </c>
      <c r="N177" s="6">
        <v>41</v>
      </c>
    </row>
    <row r="178" spans="2:14">
      <c r="B178" s="5">
        <v>2019</v>
      </c>
      <c r="C178" s="14">
        <v>46335</v>
      </c>
      <c r="D178" s="9" t="s">
        <v>42</v>
      </c>
      <c r="E178" s="9">
        <v>14.5</v>
      </c>
      <c r="F178" s="9" t="s">
        <v>32</v>
      </c>
      <c r="G178" s="9">
        <v>1</v>
      </c>
      <c r="H178" s="9">
        <v>2</v>
      </c>
      <c r="I178" s="9">
        <v>0</v>
      </c>
      <c r="J178" s="9" t="s">
        <v>15</v>
      </c>
      <c r="K178" s="9" t="s">
        <v>24</v>
      </c>
      <c r="L178" s="9">
        <v>41</v>
      </c>
      <c r="M178" s="9">
        <v>46</v>
      </c>
      <c r="N178" s="6">
        <v>-5</v>
      </c>
    </row>
    <row r="179" spans="2:14">
      <c r="B179" s="5">
        <v>2019</v>
      </c>
      <c r="C179" s="14">
        <v>46342</v>
      </c>
      <c r="D179" s="9" t="s">
        <v>83</v>
      </c>
      <c r="E179" s="9">
        <v>11</v>
      </c>
      <c r="F179" s="9" t="s">
        <v>33</v>
      </c>
      <c r="G179" s="9">
        <v>0</v>
      </c>
      <c r="H179" s="9"/>
      <c r="I179" s="9">
        <v>0</v>
      </c>
      <c r="J179" s="9" t="s">
        <v>19</v>
      </c>
      <c r="K179" s="9" t="s">
        <v>16</v>
      </c>
      <c r="L179" s="9">
        <v>38</v>
      </c>
      <c r="M179" s="9">
        <v>7</v>
      </c>
      <c r="N179" s="6">
        <v>31</v>
      </c>
    </row>
    <row r="180" spans="2:14">
      <c r="B180" s="5">
        <v>2019</v>
      </c>
      <c r="C180" s="14">
        <v>46349</v>
      </c>
      <c r="D180" s="9" t="s">
        <v>83</v>
      </c>
      <c r="E180" s="9">
        <v>11</v>
      </c>
      <c r="F180" s="9" t="s">
        <v>14</v>
      </c>
      <c r="G180" s="9">
        <v>0</v>
      </c>
      <c r="H180" s="9"/>
      <c r="I180" s="9">
        <v>1</v>
      </c>
      <c r="J180" s="9" t="s">
        <v>15</v>
      </c>
      <c r="K180" s="9" t="s">
        <v>16</v>
      </c>
      <c r="L180" s="9">
        <v>66</v>
      </c>
      <c r="M180" s="9">
        <v>3</v>
      </c>
      <c r="N180" s="6">
        <v>63</v>
      </c>
    </row>
    <row r="181" spans="2:14">
      <c r="B181" s="5">
        <v>2019</v>
      </c>
      <c r="C181" s="14">
        <v>46356</v>
      </c>
      <c r="D181" s="9" t="s">
        <v>42</v>
      </c>
      <c r="E181" s="9">
        <v>14.5</v>
      </c>
      <c r="F181" s="9" t="s">
        <v>37</v>
      </c>
      <c r="G181" s="9">
        <v>1</v>
      </c>
      <c r="H181" s="9">
        <v>15</v>
      </c>
      <c r="I181" s="9">
        <v>0</v>
      </c>
      <c r="J181" s="9" t="s">
        <v>19</v>
      </c>
      <c r="K181" s="9" t="s">
        <v>24</v>
      </c>
      <c r="L181" s="9">
        <v>45</v>
      </c>
      <c r="M181" s="9">
        <v>48</v>
      </c>
      <c r="N181" s="6">
        <v>-3</v>
      </c>
    </row>
    <row r="182" spans="2:14">
      <c r="B182" s="5">
        <v>2019</v>
      </c>
      <c r="C182" s="15">
        <v>43831</v>
      </c>
      <c r="D182" s="9" t="s">
        <v>99</v>
      </c>
      <c r="E182" s="9">
        <v>12</v>
      </c>
      <c r="F182" s="9" t="s">
        <v>72</v>
      </c>
      <c r="G182" s="9">
        <v>1</v>
      </c>
      <c r="H182" s="9">
        <v>14</v>
      </c>
      <c r="I182" s="9">
        <v>1</v>
      </c>
      <c r="J182" s="9" t="s">
        <v>27</v>
      </c>
      <c r="K182" s="9" t="s">
        <v>16</v>
      </c>
      <c r="L182" s="9">
        <v>35</v>
      </c>
      <c r="M182" s="9">
        <v>16</v>
      </c>
      <c r="N182" s="6">
        <v>19</v>
      </c>
    </row>
    <row r="183" spans="2:14">
      <c r="B183" s="5">
        <v>2020</v>
      </c>
      <c r="C183" s="14">
        <v>46291</v>
      </c>
      <c r="D183" s="9" t="s">
        <v>13</v>
      </c>
      <c r="E183" s="9">
        <v>18</v>
      </c>
      <c r="F183" s="9" t="s">
        <v>74</v>
      </c>
      <c r="G183" s="9">
        <v>0</v>
      </c>
      <c r="H183" s="9"/>
      <c r="I183" s="9">
        <v>0</v>
      </c>
      <c r="J183" s="9" t="s">
        <v>19</v>
      </c>
      <c r="K183" s="9" t="s">
        <v>16</v>
      </c>
      <c r="L183" s="9">
        <v>38</v>
      </c>
      <c r="M183" s="9">
        <v>19</v>
      </c>
      <c r="N183" s="6">
        <v>19</v>
      </c>
    </row>
    <row r="184" spans="2:14">
      <c r="B184" s="5">
        <v>2020</v>
      </c>
      <c r="C184" s="14">
        <v>46298</v>
      </c>
      <c r="D184" s="9" t="s">
        <v>42</v>
      </c>
      <c r="E184" s="9">
        <v>14.5</v>
      </c>
      <c r="F184" s="9" t="s">
        <v>76</v>
      </c>
      <c r="G184" s="9">
        <v>1</v>
      </c>
      <c r="H184" s="9">
        <v>13</v>
      </c>
      <c r="I184" s="9">
        <v>0</v>
      </c>
      <c r="J184" s="9" t="s">
        <v>15</v>
      </c>
      <c r="K184" s="9" t="s">
        <v>16</v>
      </c>
      <c r="L184" s="9">
        <v>52</v>
      </c>
      <c r="M184" s="9">
        <v>24</v>
      </c>
      <c r="N184" s="6">
        <v>28</v>
      </c>
    </row>
    <row r="185" spans="2:14">
      <c r="B185" s="5">
        <v>2020</v>
      </c>
      <c r="C185" s="14">
        <v>46305</v>
      </c>
      <c r="D185" s="9" t="s">
        <v>63</v>
      </c>
      <c r="E185" s="9">
        <v>18.5</v>
      </c>
      <c r="F185" s="9" t="s">
        <v>30</v>
      </c>
      <c r="G185" s="9">
        <v>0</v>
      </c>
      <c r="H185" s="9"/>
      <c r="I185" s="9">
        <v>0</v>
      </c>
      <c r="J185" s="9" t="s">
        <v>19</v>
      </c>
      <c r="K185" s="9" t="s">
        <v>16</v>
      </c>
      <c r="L185" s="9">
        <v>63</v>
      </c>
      <c r="M185" s="9">
        <v>48</v>
      </c>
      <c r="N185" s="6">
        <v>15</v>
      </c>
    </row>
    <row r="186" spans="2:14">
      <c r="B186" s="5">
        <v>2020</v>
      </c>
      <c r="C186" s="14">
        <v>46312</v>
      </c>
      <c r="D186" s="9" t="s">
        <v>36</v>
      </c>
      <c r="E186" s="9">
        <v>19</v>
      </c>
      <c r="F186" s="9" t="s">
        <v>23</v>
      </c>
      <c r="G186" s="9">
        <v>1</v>
      </c>
      <c r="H186" s="9">
        <v>3</v>
      </c>
      <c r="I186" s="9">
        <v>0</v>
      </c>
      <c r="J186" s="9" t="s">
        <v>15</v>
      </c>
      <c r="K186" s="9" t="s">
        <v>16</v>
      </c>
      <c r="L186" s="9">
        <v>41</v>
      </c>
      <c r="M186" s="9">
        <v>24</v>
      </c>
      <c r="N186" s="6">
        <v>17</v>
      </c>
    </row>
    <row r="187" spans="2:14">
      <c r="B187" s="5">
        <v>2020</v>
      </c>
      <c r="C187" s="14">
        <v>46319</v>
      </c>
      <c r="D187" s="9" t="s">
        <v>42</v>
      </c>
      <c r="E187" s="9">
        <v>14.5</v>
      </c>
      <c r="F187" s="9" t="s">
        <v>31</v>
      </c>
      <c r="G187" s="9">
        <v>0</v>
      </c>
      <c r="H187" s="9"/>
      <c r="I187" s="9">
        <v>0</v>
      </c>
      <c r="J187" s="9" t="s">
        <v>19</v>
      </c>
      <c r="K187" s="9" t="s">
        <v>16</v>
      </c>
      <c r="L187" s="9">
        <v>48</v>
      </c>
      <c r="M187" s="9">
        <v>17</v>
      </c>
      <c r="N187" s="6">
        <v>31</v>
      </c>
    </row>
    <row r="188" spans="2:14">
      <c r="B188" s="5">
        <v>2020</v>
      </c>
      <c r="C188" s="14">
        <v>46326</v>
      </c>
      <c r="D188" s="9" t="s">
        <v>13</v>
      </c>
      <c r="E188" s="9">
        <v>18</v>
      </c>
      <c r="F188" s="9" t="s">
        <v>33</v>
      </c>
      <c r="G188" s="9">
        <v>0</v>
      </c>
      <c r="H188" s="9"/>
      <c r="I188" s="9">
        <v>0</v>
      </c>
      <c r="J188" s="9" t="s">
        <v>15</v>
      </c>
      <c r="K188" s="9" t="s">
        <v>16</v>
      </c>
      <c r="L188" s="9">
        <v>41</v>
      </c>
      <c r="M188" s="9">
        <v>0</v>
      </c>
      <c r="N188" s="6">
        <v>41</v>
      </c>
    </row>
    <row r="189" spans="2:14">
      <c r="B189" s="5">
        <v>2020</v>
      </c>
      <c r="C189" s="14">
        <v>46347</v>
      </c>
      <c r="D189" s="9" t="s">
        <v>45</v>
      </c>
      <c r="E189" s="9">
        <v>15</v>
      </c>
      <c r="F189" s="9" t="s">
        <v>43</v>
      </c>
      <c r="G189" s="9">
        <v>0</v>
      </c>
      <c r="H189" s="9"/>
      <c r="I189" s="9">
        <v>0</v>
      </c>
      <c r="J189" s="9" t="s">
        <v>15</v>
      </c>
      <c r="K189" s="9" t="s">
        <v>16</v>
      </c>
      <c r="L189" s="9">
        <v>63</v>
      </c>
      <c r="M189" s="9">
        <v>3</v>
      </c>
      <c r="N189" s="6">
        <v>60</v>
      </c>
    </row>
    <row r="190" spans="2:14">
      <c r="B190" s="5">
        <v>2020</v>
      </c>
      <c r="C190" s="14">
        <v>46354</v>
      </c>
      <c r="D190" s="9" t="s">
        <v>42</v>
      </c>
      <c r="E190" s="9">
        <v>14.5</v>
      </c>
      <c r="F190" s="9" t="s">
        <v>37</v>
      </c>
      <c r="G190" s="9">
        <v>1</v>
      </c>
      <c r="H190" s="9">
        <v>22</v>
      </c>
      <c r="I190" s="9">
        <v>0</v>
      </c>
      <c r="J190" s="9" t="s">
        <v>15</v>
      </c>
      <c r="K190" s="9" t="s">
        <v>16</v>
      </c>
      <c r="L190" s="9">
        <v>42</v>
      </c>
      <c r="M190" s="9">
        <v>13</v>
      </c>
      <c r="N190" s="6">
        <v>29</v>
      </c>
    </row>
    <row r="191" spans="2:14">
      <c r="B191" s="5">
        <v>2020</v>
      </c>
      <c r="C191" s="14">
        <v>46361</v>
      </c>
      <c r="D191" s="9" t="s">
        <v>36</v>
      </c>
      <c r="E191" s="9">
        <v>19</v>
      </c>
      <c r="F191" s="9" t="s">
        <v>32</v>
      </c>
      <c r="G191" s="9">
        <v>0</v>
      </c>
      <c r="H191" s="9"/>
      <c r="I191" s="9">
        <v>0</v>
      </c>
      <c r="J191" s="9" t="s">
        <v>19</v>
      </c>
      <c r="K191" s="9" t="s">
        <v>16</v>
      </c>
      <c r="L191" s="9">
        <v>55</v>
      </c>
      <c r="M191" s="9">
        <v>17</v>
      </c>
      <c r="N191" s="6">
        <v>38</v>
      </c>
    </row>
    <row r="192" spans="2:14">
      <c r="B192" s="5">
        <v>2020</v>
      </c>
      <c r="C192" s="14">
        <v>46368</v>
      </c>
      <c r="D192" s="9" t="s">
        <v>83</v>
      </c>
      <c r="E192" s="9">
        <v>11</v>
      </c>
      <c r="F192" s="9" t="s">
        <v>21</v>
      </c>
      <c r="G192" s="9">
        <v>0</v>
      </c>
      <c r="H192" s="9"/>
      <c r="I192" s="9">
        <v>0</v>
      </c>
      <c r="J192" s="9" t="s">
        <v>19</v>
      </c>
      <c r="K192" s="9" t="s">
        <v>16</v>
      </c>
      <c r="L192" s="9">
        <v>52</v>
      </c>
      <c r="M192" s="9">
        <v>3</v>
      </c>
      <c r="N192" s="6">
        <v>49</v>
      </c>
    </row>
    <row r="193" spans="2:14">
      <c r="B193" s="5">
        <v>2020</v>
      </c>
      <c r="C193" s="14">
        <v>46375</v>
      </c>
      <c r="D193" s="9" t="s">
        <v>36</v>
      </c>
      <c r="E193" s="9">
        <v>19</v>
      </c>
      <c r="F193" s="9" t="s">
        <v>46</v>
      </c>
      <c r="G193" s="9">
        <v>1</v>
      </c>
      <c r="H193" s="9">
        <v>7</v>
      </c>
      <c r="I193" s="9">
        <v>0</v>
      </c>
      <c r="J193" s="9" t="s">
        <v>27</v>
      </c>
      <c r="K193" s="9" t="s">
        <v>16</v>
      </c>
      <c r="L193" s="9">
        <v>52</v>
      </c>
      <c r="M193" s="9">
        <v>46</v>
      </c>
      <c r="N193" s="6">
        <v>6</v>
      </c>
    </row>
    <row r="194" spans="2:14">
      <c r="B194" s="5">
        <v>2020</v>
      </c>
      <c r="C194" s="15">
        <v>44197</v>
      </c>
      <c r="D194" s="9" t="s">
        <v>45</v>
      </c>
      <c r="E194" s="9">
        <v>15</v>
      </c>
      <c r="F194" s="9" t="s">
        <v>77</v>
      </c>
      <c r="G194" s="9">
        <v>1</v>
      </c>
      <c r="H194" s="9">
        <v>4</v>
      </c>
      <c r="I194" s="9">
        <v>1</v>
      </c>
      <c r="J194" s="9" t="s">
        <v>27</v>
      </c>
      <c r="K194" s="9" t="s">
        <v>16</v>
      </c>
      <c r="L194" s="9">
        <v>31</v>
      </c>
      <c r="M194" s="9">
        <v>14</v>
      </c>
      <c r="N194" s="6">
        <v>17</v>
      </c>
    </row>
    <row r="195" spans="2:14">
      <c r="B195" s="5">
        <v>2020</v>
      </c>
      <c r="C195" s="15">
        <v>44207</v>
      </c>
      <c r="D195" s="9" t="s">
        <v>36</v>
      </c>
      <c r="E195" s="9">
        <v>19</v>
      </c>
      <c r="F195" s="9" t="s">
        <v>85</v>
      </c>
      <c r="G195" s="9">
        <v>1</v>
      </c>
      <c r="H195" s="9">
        <v>3</v>
      </c>
      <c r="I195" s="9">
        <v>1</v>
      </c>
      <c r="J195" s="9" t="s">
        <v>27</v>
      </c>
      <c r="K195" s="9" t="s">
        <v>16</v>
      </c>
      <c r="L195" s="9">
        <v>52</v>
      </c>
      <c r="M195" s="9">
        <v>24</v>
      </c>
      <c r="N195" s="6">
        <v>28</v>
      </c>
    </row>
    <row r="196" spans="2:14">
      <c r="B196" s="5">
        <v>2021</v>
      </c>
      <c r="C196" s="14">
        <v>46269</v>
      </c>
      <c r="D196" s="9" t="s">
        <v>42</v>
      </c>
      <c r="E196" s="9">
        <v>14.5</v>
      </c>
      <c r="F196" s="9" t="s">
        <v>100</v>
      </c>
      <c r="G196" s="9">
        <v>1</v>
      </c>
      <c r="H196" s="9">
        <v>14</v>
      </c>
      <c r="I196" s="9">
        <v>1</v>
      </c>
      <c r="J196" s="9" t="s">
        <v>27</v>
      </c>
      <c r="K196" s="9" t="s">
        <v>16</v>
      </c>
      <c r="L196" s="9">
        <v>44</v>
      </c>
      <c r="M196" s="9">
        <v>13</v>
      </c>
      <c r="N196" s="6">
        <v>31</v>
      </c>
    </row>
    <row r="197" spans="2:14">
      <c r="B197" s="5">
        <v>2021</v>
      </c>
      <c r="C197" s="14">
        <v>46276</v>
      </c>
      <c r="D197" s="9" t="s">
        <v>45</v>
      </c>
      <c r="E197" s="9">
        <v>15</v>
      </c>
      <c r="F197" s="9" t="s">
        <v>94</v>
      </c>
      <c r="G197" s="9">
        <v>0</v>
      </c>
      <c r="H197" s="9"/>
      <c r="I197" s="9">
        <v>1</v>
      </c>
      <c r="J197" s="9" t="s">
        <v>15</v>
      </c>
      <c r="K197" s="9" t="s">
        <v>16</v>
      </c>
      <c r="L197" s="9">
        <v>48</v>
      </c>
      <c r="M197" s="9">
        <v>14</v>
      </c>
      <c r="N197" s="6">
        <v>34</v>
      </c>
    </row>
    <row r="198" spans="2:14">
      <c r="B198" s="5">
        <v>2021</v>
      </c>
      <c r="C198" s="14">
        <v>46283</v>
      </c>
      <c r="D198" s="9" t="s">
        <v>42</v>
      </c>
      <c r="E198" s="9">
        <v>14.5</v>
      </c>
      <c r="F198" s="9" t="s">
        <v>46</v>
      </c>
      <c r="G198" s="9">
        <v>1</v>
      </c>
      <c r="H198" s="9">
        <v>11</v>
      </c>
      <c r="I198" s="9">
        <v>0</v>
      </c>
      <c r="J198" s="9" t="s">
        <v>19</v>
      </c>
      <c r="K198" s="9" t="s">
        <v>16</v>
      </c>
      <c r="L198" s="9">
        <v>31</v>
      </c>
      <c r="M198" s="9">
        <v>29</v>
      </c>
      <c r="N198" s="6">
        <v>2</v>
      </c>
    </row>
    <row r="199" spans="2:14">
      <c r="B199" s="5">
        <v>2021</v>
      </c>
      <c r="C199" s="14">
        <v>46290</v>
      </c>
      <c r="D199" s="9" t="s">
        <v>63</v>
      </c>
      <c r="E199" s="9">
        <v>18.5</v>
      </c>
      <c r="F199" s="9" t="s">
        <v>84</v>
      </c>
      <c r="G199" s="9">
        <v>0</v>
      </c>
      <c r="H199" s="9"/>
      <c r="I199" s="9">
        <v>1</v>
      </c>
      <c r="J199" s="9" t="s">
        <v>15</v>
      </c>
      <c r="K199" s="9" t="s">
        <v>16</v>
      </c>
      <c r="L199" s="9">
        <v>63</v>
      </c>
      <c r="M199" s="9">
        <v>14</v>
      </c>
      <c r="N199" s="6">
        <v>49</v>
      </c>
    </row>
    <row r="200" spans="2:14">
      <c r="B200" s="5">
        <v>2021</v>
      </c>
      <c r="C200" s="14">
        <v>46297</v>
      </c>
      <c r="D200" s="9" t="s">
        <v>42</v>
      </c>
      <c r="E200" s="9">
        <v>14.5</v>
      </c>
      <c r="F200" s="9" t="s">
        <v>30</v>
      </c>
      <c r="G200" s="9">
        <v>1</v>
      </c>
      <c r="H200" s="9">
        <v>12</v>
      </c>
      <c r="I200" s="9">
        <v>0</v>
      </c>
      <c r="J200" s="9" t="s">
        <v>15</v>
      </c>
      <c r="K200" s="9" t="s">
        <v>16</v>
      </c>
      <c r="L200" s="9">
        <v>42</v>
      </c>
      <c r="M200" s="9">
        <v>21</v>
      </c>
      <c r="N200" s="6">
        <v>21</v>
      </c>
    </row>
    <row r="201" spans="2:14">
      <c r="B201" s="5">
        <v>2021</v>
      </c>
      <c r="C201" s="14">
        <v>46304</v>
      </c>
      <c r="D201" s="9" t="s">
        <v>36</v>
      </c>
      <c r="E201" s="9">
        <v>19</v>
      </c>
      <c r="F201" s="9" t="s">
        <v>76</v>
      </c>
      <c r="G201" s="9">
        <v>0</v>
      </c>
      <c r="H201" s="9"/>
      <c r="I201" s="9">
        <v>0</v>
      </c>
      <c r="J201" s="9" t="s">
        <v>19</v>
      </c>
      <c r="K201" s="9" t="s">
        <v>24</v>
      </c>
      <c r="L201" s="9">
        <v>38</v>
      </c>
      <c r="M201" s="9">
        <v>41</v>
      </c>
      <c r="N201" s="6">
        <v>-3</v>
      </c>
    </row>
    <row r="202" spans="2:14">
      <c r="B202" s="5">
        <v>2021</v>
      </c>
      <c r="C202" s="14">
        <v>46311</v>
      </c>
      <c r="D202" s="9" t="s">
        <v>13</v>
      </c>
      <c r="E202" s="9">
        <v>18</v>
      </c>
      <c r="F202" s="9" t="s">
        <v>33</v>
      </c>
      <c r="G202" s="9">
        <v>0</v>
      </c>
      <c r="H202" s="9"/>
      <c r="I202" s="9">
        <v>0</v>
      </c>
      <c r="J202" s="9" t="s">
        <v>19</v>
      </c>
      <c r="K202" s="9" t="s">
        <v>16</v>
      </c>
      <c r="L202" s="9">
        <v>49</v>
      </c>
      <c r="M202" s="9">
        <v>9</v>
      </c>
      <c r="N202" s="6">
        <v>40</v>
      </c>
    </row>
    <row r="203" spans="2:14">
      <c r="B203" s="5">
        <v>2021</v>
      </c>
      <c r="C203" s="14">
        <v>46318</v>
      </c>
      <c r="D203" s="9" t="s">
        <v>13</v>
      </c>
      <c r="E203" s="9">
        <v>18</v>
      </c>
      <c r="F203" s="9" t="s">
        <v>31</v>
      </c>
      <c r="G203" s="9">
        <v>0</v>
      </c>
      <c r="H203" s="9"/>
      <c r="I203" s="9">
        <v>0</v>
      </c>
      <c r="J203" s="9" t="s">
        <v>15</v>
      </c>
      <c r="K203" s="9" t="s">
        <v>16</v>
      </c>
      <c r="L203" s="9">
        <v>52</v>
      </c>
      <c r="M203" s="9">
        <v>24</v>
      </c>
      <c r="N203" s="6">
        <v>28</v>
      </c>
    </row>
    <row r="204" spans="2:14">
      <c r="B204" s="5">
        <v>2021</v>
      </c>
      <c r="C204" s="14">
        <v>46332</v>
      </c>
      <c r="D204" s="9" t="s">
        <v>13</v>
      </c>
      <c r="E204" s="9">
        <v>18</v>
      </c>
      <c r="F204" s="9" t="s">
        <v>32</v>
      </c>
      <c r="G204" s="9">
        <v>0</v>
      </c>
      <c r="H204" s="9"/>
      <c r="I204" s="9">
        <v>0</v>
      </c>
      <c r="J204" s="9" t="s">
        <v>15</v>
      </c>
      <c r="K204" s="9" t="s">
        <v>16</v>
      </c>
      <c r="L204" s="9">
        <v>20</v>
      </c>
      <c r="M204" s="9">
        <v>14</v>
      </c>
      <c r="N204" s="6">
        <v>6</v>
      </c>
    </row>
    <row r="205" spans="2:14">
      <c r="B205" s="5">
        <v>2021</v>
      </c>
      <c r="C205" s="14">
        <v>46339</v>
      </c>
      <c r="D205" s="9" t="s">
        <v>83</v>
      </c>
      <c r="E205" s="9">
        <v>11</v>
      </c>
      <c r="F205" s="9" t="s">
        <v>98</v>
      </c>
      <c r="G205" s="9">
        <v>0</v>
      </c>
      <c r="H205" s="9"/>
      <c r="I205" s="9">
        <v>1</v>
      </c>
      <c r="J205" s="9" t="s">
        <v>15</v>
      </c>
      <c r="K205" s="9" t="s">
        <v>16</v>
      </c>
      <c r="L205" s="9">
        <v>59</v>
      </c>
      <c r="M205" s="9">
        <v>3</v>
      </c>
      <c r="N205" s="6">
        <v>56</v>
      </c>
    </row>
    <row r="206" spans="2:14">
      <c r="B206" s="5">
        <v>2021</v>
      </c>
      <c r="C206" s="14">
        <v>46346</v>
      </c>
      <c r="D206" s="9" t="s">
        <v>42</v>
      </c>
      <c r="E206" s="9">
        <v>14.5</v>
      </c>
      <c r="F206" s="9" t="s">
        <v>21</v>
      </c>
      <c r="G206" s="9">
        <v>1</v>
      </c>
      <c r="H206" s="9">
        <v>21</v>
      </c>
      <c r="I206" s="9">
        <v>0</v>
      </c>
      <c r="J206" s="9" t="s">
        <v>15</v>
      </c>
      <c r="K206" s="9" t="s">
        <v>16</v>
      </c>
      <c r="L206" s="9">
        <v>42</v>
      </c>
      <c r="M206" s="9">
        <v>35</v>
      </c>
      <c r="N206" s="6">
        <v>7</v>
      </c>
    </row>
    <row r="207" spans="2:14">
      <c r="B207" s="5">
        <v>2021</v>
      </c>
      <c r="C207" s="14">
        <v>46353</v>
      </c>
      <c r="D207" s="9" t="s">
        <v>42</v>
      </c>
      <c r="E207" s="9">
        <v>14.5</v>
      </c>
      <c r="F207" s="9" t="s">
        <v>37</v>
      </c>
      <c r="G207" s="9">
        <v>0</v>
      </c>
      <c r="H207" s="9"/>
      <c r="I207" s="9">
        <v>0</v>
      </c>
      <c r="J207" s="9" t="s">
        <v>19</v>
      </c>
      <c r="K207" s="9" t="s">
        <v>16</v>
      </c>
      <c r="L207" s="9">
        <v>24</v>
      </c>
      <c r="M207" s="9">
        <v>22</v>
      </c>
      <c r="N207" s="6">
        <v>2</v>
      </c>
    </row>
    <row r="208" spans="2:14">
      <c r="B208" s="5">
        <v>2021</v>
      </c>
      <c r="C208" s="14">
        <v>46360</v>
      </c>
      <c r="D208" s="9" t="s">
        <v>45</v>
      </c>
      <c r="E208" s="9">
        <v>15</v>
      </c>
      <c r="F208" s="9" t="s">
        <v>23</v>
      </c>
      <c r="G208" s="9">
        <v>1</v>
      </c>
      <c r="H208" s="9">
        <v>1</v>
      </c>
      <c r="I208" s="9">
        <v>0</v>
      </c>
      <c r="J208" s="9" t="s">
        <v>27</v>
      </c>
      <c r="K208" s="9" t="s">
        <v>16</v>
      </c>
      <c r="L208" s="9">
        <v>41</v>
      </c>
      <c r="M208" s="9">
        <v>24</v>
      </c>
      <c r="N208" s="6">
        <v>17</v>
      </c>
    </row>
    <row r="209" spans="2:14">
      <c r="B209" s="5">
        <v>2021</v>
      </c>
      <c r="C209" s="14">
        <v>46387</v>
      </c>
      <c r="D209" s="9" t="s">
        <v>42</v>
      </c>
      <c r="E209" s="9">
        <v>14.5</v>
      </c>
      <c r="F209" s="9" t="s">
        <v>101</v>
      </c>
      <c r="G209" s="9">
        <v>1</v>
      </c>
      <c r="H209" s="9">
        <v>4</v>
      </c>
      <c r="I209" s="9">
        <v>1</v>
      </c>
      <c r="J209" s="9" t="s">
        <v>27</v>
      </c>
      <c r="K209" s="9" t="s">
        <v>16</v>
      </c>
      <c r="L209" s="9">
        <v>27</v>
      </c>
      <c r="M209" s="9">
        <v>6</v>
      </c>
      <c r="N209" s="6">
        <v>21</v>
      </c>
    </row>
    <row r="210" spans="2:14">
      <c r="B210" s="5">
        <v>2021</v>
      </c>
      <c r="C210" s="15">
        <v>44571</v>
      </c>
      <c r="D210" s="9" t="s">
        <v>36</v>
      </c>
      <c r="E210" s="9">
        <v>19</v>
      </c>
      <c r="F210" s="9" t="s">
        <v>23</v>
      </c>
      <c r="G210" s="9">
        <v>1</v>
      </c>
      <c r="H210" s="9">
        <v>3</v>
      </c>
      <c r="I210" s="9">
        <v>0</v>
      </c>
      <c r="J210" s="9" t="s">
        <v>27</v>
      </c>
      <c r="K210" s="9" t="s">
        <v>24</v>
      </c>
      <c r="L210" s="9">
        <v>18</v>
      </c>
      <c r="M210" s="9">
        <v>33</v>
      </c>
      <c r="N210" s="6">
        <v>-15</v>
      </c>
    </row>
    <row r="211" spans="2:14">
      <c r="B211" s="5">
        <v>2022</v>
      </c>
      <c r="C211" s="14">
        <v>46268</v>
      </c>
      <c r="D211" s="9" t="s">
        <v>63</v>
      </c>
      <c r="E211" s="9">
        <v>18.5</v>
      </c>
      <c r="F211" s="9" t="s">
        <v>102</v>
      </c>
      <c r="G211" s="9">
        <v>0</v>
      </c>
      <c r="H211" s="9"/>
      <c r="I211" s="9">
        <v>1</v>
      </c>
      <c r="J211" s="9" t="s">
        <v>15</v>
      </c>
      <c r="K211" s="9" t="s">
        <v>16</v>
      </c>
      <c r="L211" s="9">
        <v>55</v>
      </c>
      <c r="M211" s="9">
        <v>0</v>
      </c>
      <c r="N211" s="6">
        <v>55</v>
      </c>
    </row>
    <row r="212" spans="2:14">
      <c r="B212" s="5">
        <v>2022</v>
      </c>
      <c r="C212" s="14">
        <v>46275</v>
      </c>
      <c r="D212" s="9" t="s">
        <v>83</v>
      </c>
      <c r="E212" s="9">
        <v>11</v>
      </c>
      <c r="F212" s="9" t="s">
        <v>57</v>
      </c>
      <c r="G212" s="9">
        <v>0</v>
      </c>
      <c r="H212" s="9"/>
      <c r="I212" s="9">
        <v>1</v>
      </c>
      <c r="J212" s="9" t="s">
        <v>19</v>
      </c>
      <c r="K212" s="9" t="s">
        <v>16</v>
      </c>
      <c r="L212" s="9">
        <v>20</v>
      </c>
      <c r="M212" s="9">
        <v>19</v>
      </c>
      <c r="N212" s="6">
        <v>1</v>
      </c>
    </row>
    <row r="213" spans="2:14">
      <c r="B213" s="5">
        <v>2022</v>
      </c>
      <c r="C213" s="14">
        <v>46282</v>
      </c>
      <c r="D213" s="9" t="s">
        <v>45</v>
      </c>
      <c r="E213" s="9">
        <v>15</v>
      </c>
      <c r="F213" s="9" t="s">
        <v>35</v>
      </c>
      <c r="G213" s="9">
        <v>0</v>
      </c>
      <c r="H213" s="9"/>
      <c r="I213" s="9">
        <v>1</v>
      </c>
      <c r="J213" s="9" t="s">
        <v>15</v>
      </c>
      <c r="K213" s="9" t="s">
        <v>16</v>
      </c>
      <c r="L213" s="9">
        <v>63</v>
      </c>
      <c r="M213" s="9">
        <v>7</v>
      </c>
      <c r="N213" s="6">
        <v>56</v>
      </c>
    </row>
    <row r="214" spans="2:14">
      <c r="B214" s="5">
        <v>2022</v>
      </c>
      <c r="C214" s="14">
        <v>46289</v>
      </c>
      <c r="D214" s="9" t="s">
        <v>63</v>
      </c>
      <c r="E214" s="9">
        <v>18.5</v>
      </c>
      <c r="F214" s="9" t="s">
        <v>18</v>
      </c>
      <c r="G214" s="9">
        <v>0</v>
      </c>
      <c r="H214" s="9"/>
      <c r="I214" s="9">
        <v>0</v>
      </c>
      <c r="J214" s="9" t="s">
        <v>15</v>
      </c>
      <c r="K214" s="9" t="s">
        <v>16</v>
      </c>
      <c r="L214" s="9">
        <v>55</v>
      </c>
      <c r="M214" s="9">
        <v>3</v>
      </c>
      <c r="N214" s="6">
        <v>52</v>
      </c>
    </row>
    <row r="215" spans="2:14">
      <c r="B215" s="5">
        <v>2022</v>
      </c>
      <c r="C215" s="14">
        <v>46296</v>
      </c>
      <c r="D215" s="9" t="s">
        <v>42</v>
      </c>
      <c r="E215" s="9">
        <v>14.5</v>
      </c>
      <c r="F215" s="9" t="s">
        <v>21</v>
      </c>
      <c r="G215" s="9">
        <v>1</v>
      </c>
      <c r="H215" s="9">
        <v>20</v>
      </c>
      <c r="I215" s="9">
        <v>0</v>
      </c>
      <c r="J215" s="9" t="s">
        <v>19</v>
      </c>
      <c r="K215" s="9" t="s">
        <v>16</v>
      </c>
      <c r="L215" s="9">
        <v>49</v>
      </c>
      <c r="M215" s="9">
        <v>26</v>
      </c>
      <c r="N215" s="6">
        <v>23</v>
      </c>
    </row>
    <row r="216" spans="2:14">
      <c r="B216" s="5">
        <v>2022</v>
      </c>
      <c r="C216" s="14">
        <v>46303</v>
      </c>
      <c r="D216" s="9" t="s">
        <v>36</v>
      </c>
      <c r="E216" s="9">
        <v>19</v>
      </c>
      <c r="F216" s="9" t="s">
        <v>76</v>
      </c>
      <c r="G216" s="9">
        <v>0</v>
      </c>
      <c r="H216" s="9"/>
      <c r="I216" s="9">
        <v>0</v>
      </c>
      <c r="J216" s="9" t="s">
        <v>15</v>
      </c>
      <c r="K216" s="9" t="s">
        <v>16</v>
      </c>
      <c r="L216" s="9">
        <v>24</v>
      </c>
      <c r="M216" s="9">
        <v>20</v>
      </c>
      <c r="N216" s="6">
        <v>4</v>
      </c>
    </row>
    <row r="217" spans="2:14">
      <c r="B217" s="5">
        <v>2022</v>
      </c>
      <c r="C217" s="14">
        <v>46310</v>
      </c>
      <c r="D217" s="9" t="s">
        <v>42</v>
      </c>
      <c r="E217" s="9">
        <v>14.5</v>
      </c>
      <c r="F217" s="9" t="s">
        <v>31</v>
      </c>
      <c r="G217" s="9">
        <v>1</v>
      </c>
      <c r="H217" s="9">
        <v>6</v>
      </c>
      <c r="I217" s="9">
        <v>0</v>
      </c>
      <c r="J217" s="9" t="s">
        <v>19</v>
      </c>
      <c r="K217" s="9" t="s">
        <v>24</v>
      </c>
      <c r="L217" s="9">
        <v>49</v>
      </c>
      <c r="M217" s="9">
        <v>52</v>
      </c>
      <c r="N217" s="6">
        <v>-3</v>
      </c>
    </row>
    <row r="218" spans="2:14">
      <c r="B218" s="5">
        <v>2022</v>
      </c>
      <c r="C218" s="14">
        <v>46317</v>
      </c>
      <c r="D218" s="9" t="s">
        <v>13</v>
      </c>
      <c r="E218" s="9">
        <v>18</v>
      </c>
      <c r="F218" s="9" t="s">
        <v>33</v>
      </c>
      <c r="G218" s="9">
        <v>1</v>
      </c>
      <c r="H218" s="9">
        <v>24</v>
      </c>
      <c r="I218" s="9">
        <v>0</v>
      </c>
      <c r="J218" s="9" t="s">
        <v>15</v>
      </c>
      <c r="K218" s="9" t="s">
        <v>16</v>
      </c>
      <c r="L218" s="9">
        <v>30</v>
      </c>
      <c r="M218" s="9">
        <v>6</v>
      </c>
      <c r="N218" s="6">
        <v>24</v>
      </c>
    </row>
    <row r="219" spans="2:14">
      <c r="B219" s="5">
        <v>2022</v>
      </c>
      <c r="C219" s="14">
        <v>46331</v>
      </c>
      <c r="D219" s="9" t="s">
        <v>13</v>
      </c>
      <c r="E219" s="9">
        <v>18</v>
      </c>
      <c r="F219" s="9" t="s">
        <v>32</v>
      </c>
      <c r="G219" s="9">
        <v>1</v>
      </c>
      <c r="H219" s="9">
        <v>10</v>
      </c>
      <c r="I219" s="9">
        <v>0</v>
      </c>
      <c r="J219" s="9" t="s">
        <v>19</v>
      </c>
      <c r="K219" s="9" t="s">
        <v>24</v>
      </c>
      <c r="L219" s="9">
        <v>31</v>
      </c>
      <c r="M219" s="9">
        <v>32</v>
      </c>
      <c r="N219" s="6">
        <v>-1</v>
      </c>
    </row>
    <row r="220" spans="2:14">
      <c r="B220" s="5">
        <v>2022</v>
      </c>
      <c r="C220" s="14">
        <v>46338</v>
      </c>
      <c r="D220" s="9" t="s">
        <v>42</v>
      </c>
      <c r="E220" s="9">
        <v>14.5</v>
      </c>
      <c r="F220" s="9" t="s">
        <v>30</v>
      </c>
      <c r="G220" s="9">
        <v>1</v>
      </c>
      <c r="H220" s="9">
        <v>11</v>
      </c>
      <c r="I220" s="9">
        <v>0</v>
      </c>
      <c r="J220" s="9" t="s">
        <v>19</v>
      </c>
      <c r="K220" s="9" t="s">
        <v>16</v>
      </c>
      <c r="L220" s="9">
        <v>30</v>
      </c>
      <c r="M220" s="9">
        <v>24</v>
      </c>
      <c r="N220" s="6">
        <v>6</v>
      </c>
    </row>
    <row r="221" spans="2:14">
      <c r="B221" s="5">
        <v>2022</v>
      </c>
      <c r="C221" s="14">
        <v>46345</v>
      </c>
      <c r="D221" s="9" t="s">
        <v>83</v>
      </c>
      <c r="E221" s="9">
        <v>11</v>
      </c>
      <c r="F221" s="9" t="s">
        <v>103</v>
      </c>
      <c r="G221" s="9">
        <v>0</v>
      </c>
      <c r="H221" s="9"/>
      <c r="I221" s="9">
        <v>1</v>
      </c>
      <c r="J221" s="9" t="s">
        <v>15</v>
      </c>
      <c r="K221" s="9" t="s">
        <v>16</v>
      </c>
      <c r="L221" s="9">
        <v>34</v>
      </c>
      <c r="M221" s="9">
        <v>0</v>
      </c>
      <c r="N221" s="6">
        <v>34</v>
      </c>
    </row>
    <row r="222" spans="2:14">
      <c r="B222" s="5">
        <v>2022</v>
      </c>
      <c r="C222" s="14">
        <v>46352</v>
      </c>
      <c r="D222" s="9" t="s">
        <v>42</v>
      </c>
      <c r="E222" s="9">
        <v>14.5</v>
      </c>
      <c r="F222" s="9" t="s">
        <v>37</v>
      </c>
      <c r="G222" s="9">
        <v>0</v>
      </c>
      <c r="H222" s="9"/>
      <c r="I222" s="9">
        <v>0</v>
      </c>
      <c r="J222" s="9" t="s">
        <v>15</v>
      </c>
      <c r="K222" s="9" t="s">
        <v>16</v>
      </c>
      <c r="L222" s="9">
        <v>49</v>
      </c>
      <c r="M222" s="9">
        <v>27</v>
      </c>
      <c r="N222" s="6">
        <v>22</v>
      </c>
    </row>
    <row r="223" spans="2:14">
      <c r="B223" s="5">
        <v>2022</v>
      </c>
      <c r="C223" s="14">
        <v>46387</v>
      </c>
      <c r="D223" s="9" t="s">
        <v>83</v>
      </c>
      <c r="E223" s="9">
        <v>11</v>
      </c>
      <c r="F223" s="9" t="s">
        <v>104</v>
      </c>
      <c r="G223" s="9">
        <v>1</v>
      </c>
      <c r="H223" s="9">
        <v>9</v>
      </c>
      <c r="I223" s="9">
        <v>1</v>
      </c>
      <c r="J223" s="9" t="s">
        <v>27</v>
      </c>
      <c r="K223" s="9" t="s">
        <v>16</v>
      </c>
      <c r="L223" s="9">
        <v>45</v>
      </c>
      <c r="M223" s="9">
        <v>20</v>
      </c>
      <c r="N223" s="6">
        <v>25</v>
      </c>
    </row>
    <row r="224" spans="2:14">
      <c r="B224" s="5">
        <v>2023</v>
      </c>
      <c r="C224" s="14">
        <v>46267</v>
      </c>
      <c r="D224" s="9" t="s">
        <v>63</v>
      </c>
      <c r="E224" s="9">
        <v>18.5</v>
      </c>
      <c r="F224" s="9" t="s">
        <v>87</v>
      </c>
      <c r="G224" s="9">
        <v>0</v>
      </c>
      <c r="H224" s="9"/>
      <c r="I224" s="9">
        <v>1</v>
      </c>
      <c r="J224" s="9" t="s">
        <v>15</v>
      </c>
      <c r="K224" s="9" t="s">
        <v>16</v>
      </c>
      <c r="L224" s="9">
        <v>56</v>
      </c>
      <c r="M224" s="9">
        <v>7</v>
      </c>
      <c r="N224" s="6">
        <v>49</v>
      </c>
    </row>
    <row r="225" spans="2:14">
      <c r="B225" s="5">
        <v>2023</v>
      </c>
      <c r="C225" s="14">
        <v>46274</v>
      </c>
      <c r="D225" s="9" t="s">
        <v>13</v>
      </c>
      <c r="E225" s="9">
        <v>18</v>
      </c>
      <c r="F225" s="9" t="s">
        <v>57</v>
      </c>
      <c r="G225" s="9">
        <v>1</v>
      </c>
      <c r="H225" s="9">
        <v>11</v>
      </c>
      <c r="I225" s="9">
        <v>1</v>
      </c>
      <c r="J225" s="9" t="s">
        <v>15</v>
      </c>
      <c r="K225" s="9" t="s">
        <v>24</v>
      </c>
      <c r="L225" s="9">
        <v>24</v>
      </c>
      <c r="M225" s="9">
        <v>34</v>
      </c>
      <c r="N225" s="6">
        <v>-10</v>
      </c>
    </row>
    <row r="226" spans="2:14">
      <c r="B226" s="5">
        <v>2023</v>
      </c>
      <c r="C226" s="14">
        <v>46281</v>
      </c>
      <c r="D226" s="9" t="s">
        <v>42</v>
      </c>
      <c r="E226" s="9">
        <v>14.5</v>
      </c>
      <c r="F226" s="9" t="s">
        <v>105</v>
      </c>
      <c r="G226" s="9">
        <v>0</v>
      </c>
      <c r="H226" s="9"/>
      <c r="I226" s="9">
        <v>1</v>
      </c>
      <c r="J226" s="9" t="s">
        <v>19</v>
      </c>
      <c r="K226" s="9" t="s">
        <v>16</v>
      </c>
      <c r="L226" s="9">
        <v>17</v>
      </c>
      <c r="M226" s="9">
        <v>3</v>
      </c>
      <c r="N226" s="6">
        <v>14</v>
      </c>
    </row>
    <row r="227" spans="2:14">
      <c r="B227" s="5">
        <v>2023</v>
      </c>
      <c r="C227" s="14">
        <v>46288</v>
      </c>
      <c r="D227" s="9" t="s">
        <v>42</v>
      </c>
      <c r="E227" s="9">
        <v>14.5</v>
      </c>
      <c r="F227" s="9" t="s">
        <v>30</v>
      </c>
      <c r="G227" s="9">
        <v>1</v>
      </c>
      <c r="H227" s="9">
        <v>15</v>
      </c>
      <c r="I227" s="9">
        <v>0</v>
      </c>
      <c r="J227" s="9" t="s">
        <v>15</v>
      </c>
      <c r="K227" s="9" t="s">
        <v>16</v>
      </c>
      <c r="L227" s="9">
        <v>24</v>
      </c>
      <c r="M227" s="9">
        <v>10</v>
      </c>
      <c r="N227" s="6">
        <v>14</v>
      </c>
    </row>
    <row r="228" spans="2:14">
      <c r="B228" s="5">
        <v>2023</v>
      </c>
      <c r="C228" s="14">
        <v>46295</v>
      </c>
      <c r="D228" s="9" t="s">
        <v>93</v>
      </c>
      <c r="E228" s="9">
        <v>20</v>
      </c>
      <c r="F228" s="9" t="s">
        <v>33</v>
      </c>
      <c r="G228" s="9">
        <v>0</v>
      </c>
      <c r="H228" s="9"/>
      <c r="I228" s="9">
        <v>0</v>
      </c>
      <c r="J228" s="9" t="s">
        <v>19</v>
      </c>
      <c r="K228" s="9" t="s">
        <v>16</v>
      </c>
      <c r="L228" s="9">
        <v>40</v>
      </c>
      <c r="M228" s="9">
        <v>17</v>
      </c>
      <c r="N228" s="6">
        <v>23</v>
      </c>
    </row>
    <row r="229" spans="2:14">
      <c r="B229" s="5">
        <v>2023</v>
      </c>
      <c r="C229" s="14">
        <v>46302</v>
      </c>
      <c r="D229" s="9" t="s">
        <v>42</v>
      </c>
      <c r="E229" s="9">
        <v>14.5</v>
      </c>
      <c r="F229" s="9" t="s">
        <v>76</v>
      </c>
      <c r="G229" s="9">
        <v>0</v>
      </c>
      <c r="H229" s="9"/>
      <c r="I229" s="9">
        <v>0</v>
      </c>
      <c r="J229" s="9" t="s">
        <v>19</v>
      </c>
      <c r="K229" s="9" t="s">
        <v>16</v>
      </c>
      <c r="L229" s="9">
        <v>26</v>
      </c>
      <c r="M229" s="9">
        <v>20</v>
      </c>
      <c r="N229" s="6">
        <v>6</v>
      </c>
    </row>
    <row r="230" spans="2:14">
      <c r="B230" s="5">
        <v>2023</v>
      </c>
      <c r="C230" s="14">
        <v>46309</v>
      </c>
      <c r="D230" s="9" t="s">
        <v>83</v>
      </c>
      <c r="E230" s="9">
        <v>11</v>
      </c>
      <c r="F230" s="9" t="s">
        <v>21</v>
      </c>
      <c r="G230" s="9">
        <v>0</v>
      </c>
      <c r="H230" s="9"/>
      <c r="I230" s="9">
        <v>0</v>
      </c>
      <c r="J230" s="9" t="s">
        <v>15</v>
      </c>
      <c r="K230" s="9" t="s">
        <v>16</v>
      </c>
      <c r="L230" s="9">
        <v>24</v>
      </c>
      <c r="M230" s="9">
        <v>21</v>
      </c>
      <c r="N230" s="6">
        <v>3</v>
      </c>
    </row>
    <row r="231" spans="2:14">
      <c r="B231" s="5">
        <v>2023</v>
      </c>
      <c r="C231" s="14">
        <v>46316</v>
      </c>
      <c r="D231" s="9" t="s">
        <v>42</v>
      </c>
      <c r="E231" s="9">
        <v>14.5</v>
      </c>
      <c r="F231" s="9" t="s">
        <v>31</v>
      </c>
      <c r="G231" s="9">
        <v>1</v>
      </c>
      <c r="H231" s="9">
        <v>17</v>
      </c>
      <c r="I231" s="9">
        <v>0</v>
      </c>
      <c r="J231" s="9" t="s">
        <v>15</v>
      </c>
      <c r="K231" s="9" t="s">
        <v>16</v>
      </c>
      <c r="L231" s="9">
        <v>34</v>
      </c>
      <c r="M231" s="9">
        <v>20</v>
      </c>
      <c r="N231" s="6">
        <v>14</v>
      </c>
    </row>
    <row r="232" spans="2:14">
      <c r="B232" s="5">
        <v>2023</v>
      </c>
      <c r="C232" s="14">
        <v>46330</v>
      </c>
      <c r="D232" s="9" t="s">
        <v>22</v>
      </c>
      <c r="E232" s="9">
        <v>18.75</v>
      </c>
      <c r="F232" s="9" t="s">
        <v>32</v>
      </c>
      <c r="G232" s="9">
        <v>1</v>
      </c>
      <c r="H232" s="9">
        <v>14</v>
      </c>
      <c r="I232" s="9">
        <v>0</v>
      </c>
      <c r="J232" s="9" t="s">
        <v>15</v>
      </c>
      <c r="K232" s="9" t="s">
        <v>16</v>
      </c>
      <c r="L232" s="9">
        <v>42</v>
      </c>
      <c r="M232" s="9">
        <v>28</v>
      </c>
      <c r="N232" s="6">
        <v>14</v>
      </c>
    </row>
    <row r="233" spans="2:14">
      <c r="B233" s="5">
        <v>2023</v>
      </c>
      <c r="C233" s="14">
        <v>46337</v>
      </c>
      <c r="D233" s="9" t="s">
        <v>83</v>
      </c>
      <c r="E233" s="9">
        <v>11</v>
      </c>
      <c r="F233" s="9" t="s">
        <v>43</v>
      </c>
      <c r="G233" s="9">
        <v>0</v>
      </c>
      <c r="H233" s="9"/>
      <c r="I233" s="9">
        <v>0</v>
      </c>
      <c r="J233" s="9" t="s">
        <v>19</v>
      </c>
      <c r="K233" s="9" t="s">
        <v>16</v>
      </c>
      <c r="L233" s="9">
        <v>49</v>
      </c>
      <c r="M233" s="9">
        <v>21</v>
      </c>
      <c r="N233" s="6">
        <v>28</v>
      </c>
    </row>
    <row r="234" spans="2:14">
      <c r="B234" s="5">
        <v>2023</v>
      </c>
      <c r="C234" s="14">
        <v>46344</v>
      </c>
      <c r="D234" s="9" t="s">
        <v>83</v>
      </c>
      <c r="E234" s="9">
        <v>11</v>
      </c>
      <c r="F234" s="9" t="s">
        <v>55</v>
      </c>
      <c r="G234" s="9">
        <v>0</v>
      </c>
      <c r="H234" s="9"/>
      <c r="I234" s="9">
        <v>1</v>
      </c>
      <c r="J234" s="9" t="s">
        <v>15</v>
      </c>
      <c r="K234" s="9" t="s">
        <v>16</v>
      </c>
      <c r="L234" s="9">
        <v>66</v>
      </c>
      <c r="M234" s="9">
        <v>10</v>
      </c>
      <c r="N234" s="6">
        <v>56</v>
      </c>
    </row>
    <row r="235" spans="2:14">
      <c r="B235" s="5">
        <v>2023</v>
      </c>
      <c r="C235" s="14">
        <v>46351</v>
      </c>
      <c r="D235" s="9" t="s">
        <v>42</v>
      </c>
      <c r="E235" s="9">
        <v>14.5</v>
      </c>
      <c r="F235" s="9" t="s">
        <v>37</v>
      </c>
      <c r="G235" s="9">
        <v>0</v>
      </c>
      <c r="H235" s="9"/>
      <c r="I235" s="9">
        <v>0</v>
      </c>
      <c r="J235" s="9" t="s">
        <v>19</v>
      </c>
      <c r="K235" s="9" t="s">
        <v>16</v>
      </c>
      <c r="L235" s="9">
        <v>27</v>
      </c>
      <c r="M235" s="9">
        <v>24</v>
      </c>
      <c r="N235" s="6">
        <v>3</v>
      </c>
    </row>
    <row r="236" spans="2:14">
      <c r="B236" s="5">
        <v>2023</v>
      </c>
      <c r="C236" s="14">
        <v>46358</v>
      </c>
      <c r="D236" s="9" t="s">
        <v>45</v>
      </c>
      <c r="E236" s="9">
        <v>15</v>
      </c>
      <c r="F236" s="9" t="s">
        <v>23</v>
      </c>
      <c r="G236" s="9">
        <v>1</v>
      </c>
      <c r="H236" s="9">
        <v>1</v>
      </c>
      <c r="I236" s="9">
        <v>0</v>
      </c>
      <c r="J236" s="9" t="s">
        <v>27</v>
      </c>
      <c r="K236" s="9" t="s">
        <v>16</v>
      </c>
      <c r="L236" s="9">
        <v>27</v>
      </c>
      <c r="M236" s="9">
        <v>24</v>
      </c>
      <c r="N236" s="6">
        <v>3</v>
      </c>
    </row>
    <row r="237" spans="2:14">
      <c r="B237" s="5">
        <v>2023</v>
      </c>
      <c r="C237" s="15">
        <v>45292</v>
      </c>
      <c r="D237" s="9" t="s">
        <v>25</v>
      </c>
      <c r="E237" s="9">
        <v>16</v>
      </c>
      <c r="F237" s="9" t="s">
        <v>72</v>
      </c>
      <c r="G237" s="9">
        <v>1</v>
      </c>
      <c r="H237" s="9">
        <v>1</v>
      </c>
      <c r="I237" s="9">
        <v>1</v>
      </c>
      <c r="J237" s="9" t="s">
        <v>27</v>
      </c>
      <c r="K237" s="9" t="s">
        <v>24</v>
      </c>
      <c r="L237" s="9">
        <v>20</v>
      </c>
      <c r="M237" s="9">
        <v>27</v>
      </c>
      <c r="N237" s="6">
        <v>-7</v>
      </c>
    </row>
    <row r="238" spans="2:14">
      <c r="B238" s="5">
        <v>2024</v>
      </c>
      <c r="C238" s="14">
        <v>46265</v>
      </c>
      <c r="D238" s="9" t="s">
        <v>13</v>
      </c>
      <c r="E238" s="9">
        <v>18</v>
      </c>
      <c r="F238" s="9" t="s">
        <v>41</v>
      </c>
      <c r="G238" s="9">
        <v>0</v>
      </c>
      <c r="H238" s="9"/>
      <c r="I238" s="9">
        <v>1</v>
      </c>
      <c r="J238" s="9" t="s">
        <v>15</v>
      </c>
      <c r="K238" s="9" t="s">
        <v>16</v>
      </c>
      <c r="L238" s="9">
        <v>63</v>
      </c>
      <c r="M238" s="9">
        <v>0</v>
      </c>
      <c r="N238" s="6">
        <v>63</v>
      </c>
    </row>
    <row r="239" spans="2:14">
      <c r="B239" s="5">
        <v>2024</v>
      </c>
      <c r="C239" s="14">
        <v>46272</v>
      </c>
      <c r="D239" s="9" t="s">
        <v>13</v>
      </c>
      <c r="E239" s="9">
        <v>18</v>
      </c>
      <c r="F239" s="9" t="s">
        <v>105</v>
      </c>
      <c r="G239" s="9">
        <v>0</v>
      </c>
      <c r="H239" s="9"/>
      <c r="I239" s="9">
        <v>1</v>
      </c>
      <c r="J239" s="9" t="s">
        <v>15</v>
      </c>
      <c r="K239" s="9" t="s">
        <v>16</v>
      </c>
      <c r="L239" s="9">
        <v>42</v>
      </c>
      <c r="M239" s="9">
        <v>16</v>
      </c>
      <c r="N239" s="6">
        <v>26</v>
      </c>
    </row>
    <row r="240" spans="2:14">
      <c r="B240" s="5">
        <v>2024</v>
      </c>
      <c r="C240" s="14">
        <v>46279</v>
      </c>
      <c r="D240" s="9" t="s">
        <v>83</v>
      </c>
      <c r="E240" s="9">
        <v>11</v>
      </c>
      <c r="F240" s="9" t="s">
        <v>86</v>
      </c>
      <c r="G240" s="9">
        <v>0</v>
      </c>
      <c r="H240" s="9"/>
      <c r="I240" s="9">
        <v>1</v>
      </c>
      <c r="J240" s="9" t="s">
        <v>19</v>
      </c>
      <c r="K240" s="9" t="s">
        <v>16</v>
      </c>
      <c r="L240" s="9">
        <v>42</v>
      </c>
      <c r="M240" s="9">
        <v>10</v>
      </c>
      <c r="N240" s="6">
        <v>32</v>
      </c>
    </row>
    <row r="241" spans="2:14">
      <c r="B241" s="5">
        <v>2024</v>
      </c>
      <c r="C241" s="14">
        <v>46293</v>
      </c>
      <c r="D241" s="9" t="s">
        <v>63</v>
      </c>
      <c r="E241" s="9">
        <v>18.5</v>
      </c>
      <c r="F241" s="9" t="s">
        <v>23</v>
      </c>
      <c r="G241" s="9">
        <v>1</v>
      </c>
      <c r="H241" s="9">
        <v>2</v>
      </c>
      <c r="I241" s="9">
        <v>0</v>
      </c>
      <c r="J241" s="9" t="s">
        <v>15</v>
      </c>
      <c r="K241" s="9" t="s">
        <v>16</v>
      </c>
      <c r="L241" s="9">
        <v>41</v>
      </c>
      <c r="M241" s="9">
        <v>34</v>
      </c>
      <c r="N241" s="6">
        <v>7</v>
      </c>
    </row>
    <row r="242" spans="2:14">
      <c r="B242" s="5">
        <v>2024</v>
      </c>
      <c r="C242" s="14">
        <v>46300</v>
      </c>
      <c r="D242" s="9" t="s">
        <v>106</v>
      </c>
      <c r="E242" s="9">
        <v>15.25</v>
      </c>
      <c r="F242" s="9" t="s">
        <v>18</v>
      </c>
      <c r="G242" s="9">
        <v>0</v>
      </c>
      <c r="H242" s="9"/>
      <c r="I242" s="9">
        <v>0</v>
      </c>
      <c r="J242" s="9" t="s">
        <v>19</v>
      </c>
      <c r="K242" s="9" t="s">
        <v>24</v>
      </c>
      <c r="L242" s="9">
        <v>35</v>
      </c>
      <c r="M242" s="9">
        <v>40</v>
      </c>
      <c r="N242" s="6">
        <v>-5</v>
      </c>
    </row>
    <row r="243" spans="2:14">
      <c r="B243" s="5">
        <v>2024</v>
      </c>
      <c r="C243" s="14">
        <v>46307</v>
      </c>
      <c r="D243" s="9" t="s">
        <v>83</v>
      </c>
      <c r="E243" s="9">
        <v>11</v>
      </c>
      <c r="F243" s="9" t="s">
        <v>54</v>
      </c>
      <c r="G243" s="9">
        <v>0</v>
      </c>
      <c r="H243" s="9"/>
      <c r="I243" s="9">
        <v>0</v>
      </c>
      <c r="J243" s="9" t="s">
        <v>15</v>
      </c>
      <c r="K243" s="9" t="s">
        <v>16</v>
      </c>
      <c r="L243" s="9">
        <v>27</v>
      </c>
      <c r="M243" s="9">
        <v>25</v>
      </c>
      <c r="N243" s="6">
        <v>2</v>
      </c>
    </row>
    <row r="244" spans="2:14">
      <c r="B244" s="5">
        <v>2024</v>
      </c>
      <c r="C244" s="14">
        <v>46314</v>
      </c>
      <c r="D244" s="9" t="s">
        <v>42</v>
      </c>
      <c r="E244" s="9">
        <v>14.5</v>
      </c>
      <c r="F244" s="9" t="s">
        <v>31</v>
      </c>
      <c r="G244" s="9">
        <v>1</v>
      </c>
      <c r="H244" s="9">
        <v>11</v>
      </c>
      <c r="I244" s="9">
        <v>0</v>
      </c>
      <c r="J244" s="9" t="s">
        <v>19</v>
      </c>
      <c r="K244" s="9" t="s">
        <v>24</v>
      </c>
      <c r="L244" s="9">
        <v>17</v>
      </c>
      <c r="M244" s="9">
        <v>24</v>
      </c>
      <c r="N244" s="6">
        <v>-7</v>
      </c>
    </row>
    <row r="245" spans="2:14">
      <c r="B245" s="5">
        <v>2024</v>
      </c>
      <c r="C245" s="14">
        <v>46321</v>
      </c>
      <c r="D245" s="9" t="s">
        <v>42</v>
      </c>
      <c r="E245" s="9">
        <v>14.5</v>
      </c>
      <c r="F245" s="9" t="s">
        <v>74</v>
      </c>
      <c r="G245" s="9">
        <v>1</v>
      </c>
      <c r="H245" s="9">
        <v>21</v>
      </c>
      <c r="I245" s="9">
        <v>0</v>
      </c>
      <c r="J245" s="9" t="s">
        <v>15</v>
      </c>
      <c r="K245" s="9" t="s">
        <v>16</v>
      </c>
      <c r="L245" s="9">
        <v>34</v>
      </c>
      <c r="M245" s="9">
        <v>0</v>
      </c>
      <c r="N245" s="6">
        <v>34</v>
      </c>
    </row>
    <row r="246" spans="2:14">
      <c r="B246" s="5">
        <v>2024</v>
      </c>
      <c r="C246" s="14">
        <v>46335</v>
      </c>
      <c r="D246" s="9" t="s">
        <v>63</v>
      </c>
      <c r="E246" s="9">
        <v>18.5</v>
      </c>
      <c r="F246" s="9" t="s">
        <v>32</v>
      </c>
      <c r="G246" s="9">
        <v>1</v>
      </c>
      <c r="H246" s="9">
        <v>15</v>
      </c>
      <c r="I246" s="9">
        <v>0</v>
      </c>
      <c r="J246" s="9" t="s">
        <v>19</v>
      </c>
      <c r="K246" s="9" t="s">
        <v>16</v>
      </c>
      <c r="L246" s="9">
        <v>42</v>
      </c>
      <c r="M246" s="9">
        <v>13</v>
      </c>
      <c r="N246" s="6">
        <v>29</v>
      </c>
    </row>
    <row r="247" spans="2:14">
      <c r="B247" s="5">
        <v>2024</v>
      </c>
      <c r="C247" s="14">
        <v>46342</v>
      </c>
      <c r="D247" s="9" t="s">
        <v>69</v>
      </c>
      <c r="E247" s="9">
        <v>13</v>
      </c>
      <c r="F247" s="9" t="s">
        <v>107</v>
      </c>
      <c r="G247" s="9">
        <v>1</v>
      </c>
      <c r="H247" s="9">
        <v>7</v>
      </c>
      <c r="I247" s="9">
        <v>1</v>
      </c>
      <c r="J247" s="9" t="s">
        <v>15</v>
      </c>
      <c r="K247" s="9" t="s">
        <v>16</v>
      </c>
      <c r="L247" s="9">
        <v>52</v>
      </c>
      <c r="M247" s="9">
        <v>7</v>
      </c>
      <c r="N247" s="6">
        <v>45</v>
      </c>
    </row>
    <row r="248" spans="2:14">
      <c r="B248" s="5">
        <v>2024</v>
      </c>
      <c r="C248" s="14">
        <v>46349</v>
      </c>
      <c r="D248" s="9" t="s">
        <v>63</v>
      </c>
      <c r="E248" s="9">
        <v>18.5</v>
      </c>
      <c r="F248" s="9" t="s">
        <v>81</v>
      </c>
      <c r="G248" s="9">
        <v>0</v>
      </c>
      <c r="H248" s="9"/>
      <c r="I248" s="9">
        <v>0</v>
      </c>
      <c r="J248" s="9" t="s">
        <v>19</v>
      </c>
      <c r="K248" s="9" t="s">
        <v>24</v>
      </c>
      <c r="L248" s="9">
        <v>3</v>
      </c>
      <c r="M248" s="9">
        <v>24</v>
      </c>
      <c r="N248" s="6">
        <v>-21</v>
      </c>
    </row>
    <row r="249" spans="2:14">
      <c r="B249" s="5">
        <v>2024</v>
      </c>
      <c r="C249" s="14">
        <v>46356</v>
      </c>
      <c r="D249" s="9" t="s">
        <v>42</v>
      </c>
      <c r="E249" s="9">
        <v>14.5</v>
      </c>
      <c r="F249" s="9" t="s">
        <v>37</v>
      </c>
      <c r="G249" s="9">
        <v>0</v>
      </c>
      <c r="H249" s="9"/>
      <c r="I249" s="9">
        <v>0</v>
      </c>
      <c r="J249" s="9" t="s">
        <v>15</v>
      </c>
      <c r="K249" s="9" t="s">
        <v>16</v>
      </c>
      <c r="L249" s="9">
        <v>28</v>
      </c>
      <c r="M249" s="9">
        <v>14</v>
      </c>
      <c r="N249" s="6">
        <v>14</v>
      </c>
    </row>
    <row r="250" spans="2:14">
      <c r="B250" s="5">
        <v>2024</v>
      </c>
      <c r="C250" s="14">
        <v>46387</v>
      </c>
      <c r="D250" s="9" t="s">
        <v>83</v>
      </c>
      <c r="E250" s="9">
        <v>11</v>
      </c>
      <c r="F250" s="9" t="s">
        <v>72</v>
      </c>
      <c r="G250" s="9">
        <v>0</v>
      </c>
      <c r="H250" s="9"/>
      <c r="I250" s="9">
        <v>0</v>
      </c>
      <c r="J250" s="9" t="s">
        <v>27</v>
      </c>
      <c r="K250" s="9" t="s">
        <v>24</v>
      </c>
      <c r="L250" s="9">
        <v>13</v>
      </c>
      <c r="M250" s="9">
        <v>19</v>
      </c>
      <c r="N250" s="6">
        <v>-6</v>
      </c>
    </row>
    <row r="251" spans="2:14">
      <c r="B251" s="5">
        <v>2025</v>
      </c>
      <c r="C251" s="14">
        <v>46264</v>
      </c>
      <c r="D251" s="9" t="s">
        <v>42</v>
      </c>
      <c r="E251" s="9">
        <v>14.5</v>
      </c>
      <c r="F251" s="9" t="s">
        <v>26</v>
      </c>
      <c r="G251" s="9">
        <v>0</v>
      </c>
      <c r="H251" s="9"/>
      <c r="I251" s="9">
        <v>1</v>
      </c>
      <c r="J251" s="9" t="s">
        <v>19</v>
      </c>
      <c r="K251" s="9" t="s">
        <v>24</v>
      </c>
      <c r="L251" s="9">
        <v>17</v>
      </c>
      <c r="M251" s="9">
        <v>31</v>
      </c>
      <c r="N251" s="6">
        <v>-14</v>
      </c>
    </row>
    <row r="252" spans="2:14">
      <c r="B252" s="5">
        <v>2025</v>
      </c>
      <c r="C252" s="14">
        <v>46271</v>
      </c>
      <c r="D252" s="9" t="s">
        <v>22</v>
      </c>
      <c r="E252" s="9">
        <v>18.75</v>
      </c>
      <c r="F252" s="9" t="s">
        <v>35</v>
      </c>
      <c r="G252" s="9">
        <v>0</v>
      </c>
      <c r="H252" s="9"/>
      <c r="I252" s="9">
        <v>1</v>
      </c>
      <c r="J252" s="9" t="s">
        <v>15</v>
      </c>
      <c r="K252" s="9" t="s">
        <v>16</v>
      </c>
      <c r="L252" s="9">
        <v>73</v>
      </c>
      <c r="M252" s="9">
        <v>0</v>
      </c>
      <c r="N252" s="6">
        <v>73</v>
      </c>
    </row>
    <row r="253" spans="2:14">
      <c r="B253" s="5">
        <v>2025</v>
      </c>
      <c r="C253" s="14">
        <v>46278</v>
      </c>
      <c r="D253" s="9" t="s">
        <v>83</v>
      </c>
      <c r="E253" s="9">
        <v>11</v>
      </c>
      <c r="F253" s="9" t="s">
        <v>86</v>
      </c>
      <c r="G253" s="9">
        <v>0</v>
      </c>
      <c r="H253" s="9"/>
      <c r="I253" s="9">
        <v>1</v>
      </c>
      <c r="J253" s="9" t="s">
        <v>15</v>
      </c>
      <c r="K253" s="9" t="s">
        <v>16</v>
      </c>
      <c r="L253" s="9">
        <v>38</v>
      </c>
      <c r="M253" s="9">
        <v>14</v>
      </c>
      <c r="N253" s="6">
        <v>24</v>
      </c>
    </row>
    <row r="254" spans="2:14">
      <c r="B254" s="5">
        <v>2025</v>
      </c>
      <c r="C254" s="14">
        <v>46292</v>
      </c>
      <c r="D254" s="9" t="s">
        <v>63</v>
      </c>
      <c r="E254" s="9">
        <v>18.5</v>
      </c>
      <c r="F254" s="9" t="s">
        <v>23</v>
      </c>
      <c r="G254" s="9">
        <v>1</v>
      </c>
      <c r="H254" s="9">
        <v>5</v>
      </c>
      <c r="I254" s="9">
        <v>0</v>
      </c>
      <c r="J254" s="9" t="s">
        <v>19</v>
      </c>
      <c r="K254" s="9" t="s">
        <v>16</v>
      </c>
      <c r="L254" s="9">
        <v>24</v>
      </c>
      <c r="M254" s="9">
        <v>21</v>
      </c>
      <c r="N254" s="6">
        <v>3</v>
      </c>
    </row>
    <row r="255" spans="2:14">
      <c r="B255" s="5">
        <v>2025</v>
      </c>
      <c r="C255" s="14">
        <v>46299</v>
      </c>
      <c r="D255" s="9" t="s">
        <v>42</v>
      </c>
      <c r="E255" s="9">
        <v>14.5</v>
      </c>
      <c r="F255" s="9" t="s">
        <v>18</v>
      </c>
      <c r="G255" s="9">
        <v>1</v>
      </c>
      <c r="H255" s="9">
        <v>16</v>
      </c>
      <c r="I255" s="9">
        <v>0</v>
      </c>
      <c r="J255" s="9" t="s">
        <v>15</v>
      </c>
      <c r="K255" s="9" t="s">
        <v>16</v>
      </c>
      <c r="L255" s="9">
        <v>30</v>
      </c>
      <c r="M255" s="9">
        <v>14</v>
      </c>
      <c r="N255" s="6">
        <v>16</v>
      </c>
    </row>
    <row r="256" spans="2:14">
      <c r="B256" s="5">
        <v>2025</v>
      </c>
      <c r="C256" s="14">
        <v>46306</v>
      </c>
      <c r="D256" s="9" t="s">
        <v>83</v>
      </c>
      <c r="E256" s="9">
        <v>11</v>
      </c>
      <c r="F256" s="9" t="s">
        <v>74</v>
      </c>
      <c r="G256" s="9">
        <v>1</v>
      </c>
      <c r="H256" s="9">
        <v>14</v>
      </c>
      <c r="I256" s="9">
        <v>0</v>
      </c>
      <c r="J256" s="9" t="s">
        <v>19</v>
      </c>
      <c r="K256" s="9" t="s">
        <v>16</v>
      </c>
      <c r="L256" s="9">
        <v>27</v>
      </c>
      <c r="M256" s="9">
        <v>24</v>
      </c>
      <c r="N256" s="6">
        <v>3</v>
      </c>
    </row>
    <row r="257" spans="2:14">
      <c r="B257" s="5">
        <v>2025</v>
      </c>
      <c r="C257" s="14">
        <v>46313</v>
      </c>
      <c r="D257" s="9" t="s">
        <v>63</v>
      </c>
      <c r="E257" s="9">
        <v>18.5</v>
      </c>
      <c r="F257" s="9" t="s">
        <v>31</v>
      </c>
      <c r="G257" s="9">
        <v>1</v>
      </c>
      <c r="H257" s="9">
        <v>11</v>
      </c>
      <c r="I257" s="9">
        <v>0</v>
      </c>
      <c r="J257" s="9" t="s">
        <v>15</v>
      </c>
      <c r="K257" s="9" t="s">
        <v>16</v>
      </c>
      <c r="L257" s="9">
        <v>37</v>
      </c>
      <c r="M257" s="9">
        <v>20</v>
      </c>
      <c r="N257" s="6">
        <v>17</v>
      </c>
    </row>
    <row r="258" spans="2:14">
      <c r="B258" s="5">
        <v>2025</v>
      </c>
      <c r="C258" s="14">
        <v>46320</v>
      </c>
      <c r="D258" s="9" t="s">
        <v>42</v>
      </c>
      <c r="E258" s="9">
        <v>14.5</v>
      </c>
      <c r="F258" s="9" t="s">
        <v>54</v>
      </c>
      <c r="G258" s="9">
        <v>0</v>
      </c>
      <c r="H258" s="9"/>
      <c r="I258" s="9">
        <v>0</v>
      </c>
      <c r="J258" s="9" t="s">
        <v>19</v>
      </c>
      <c r="K258" s="9" t="s">
        <v>16</v>
      </c>
      <c r="L258" s="9">
        <v>29</v>
      </c>
      <c r="M258" s="9">
        <v>22</v>
      </c>
      <c r="N258" s="6">
        <v>7</v>
      </c>
    </row>
    <row r="259" spans="2:14">
      <c r="B259" s="5">
        <v>2025</v>
      </c>
      <c r="C259" s="14">
        <v>46334</v>
      </c>
      <c r="D259" s="9" t="s">
        <v>63</v>
      </c>
      <c r="E259" s="9">
        <v>18.5</v>
      </c>
      <c r="F259" s="9" t="s">
        <v>32</v>
      </c>
      <c r="G259" s="9">
        <v>0</v>
      </c>
      <c r="H259" s="9"/>
      <c r="I259" s="9">
        <v>0</v>
      </c>
      <c r="J259" s="9" t="s">
        <v>15</v>
      </c>
      <c r="K259" s="9" t="s">
        <v>16</v>
      </c>
      <c r="L259" s="9">
        <v>20</v>
      </c>
      <c r="M259" s="9">
        <v>9</v>
      </c>
      <c r="N259" s="6">
        <v>11</v>
      </c>
    </row>
    <row r="260" spans="2:14">
      <c r="B260" s="5">
        <v>2025</v>
      </c>
      <c r="C260" s="14">
        <v>46341</v>
      </c>
      <c r="D260" s="9" t="s">
        <v>42</v>
      </c>
      <c r="E260" s="9">
        <v>14.5</v>
      </c>
      <c r="F260" s="9" t="s">
        <v>81</v>
      </c>
      <c r="G260" s="9">
        <v>1</v>
      </c>
      <c r="H260" s="9">
        <v>11</v>
      </c>
      <c r="I260" s="9">
        <v>0</v>
      </c>
      <c r="J260" s="9" t="s">
        <v>15</v>
      </c>
      <c r="K260" s="9" t="s">
        <v>24</v>
      </c>
      <c r="L260" s="9">
        <v>21</v>
      </c>
      <c r="M260" s="9">
        <v>23</v>
      </c>
      <c r="N260" s="6">
        <v>-2</v>
      </c>
    </row>
    <row r="261" spans="2:14">
      <c r="B261" s="5">
        <v>2025</v>
      </c>
      <c r="C261" s="14">
        <v>46348</v>
      </c>
      <c r="D261" s="9" t="s">
        <v>69</v>
      </c>
      <c r="E261" s="9">
        <v>13</v>
      </c>
      <c r="F261" s="9" t="s">
        <v>108</v>
      </c>
      <c r="G261" s="9">
        <v>0</v>
      </c>
      <c r="H261" s="9"/>
      <c r="I261" s="9">
        <v>1</v>
      </c>
      <c r="J261" s="9" t="s">
        <v>15</v>
      </c>
      <c r="K261" s="9" t="s">
        <v>16</v>
      </c>
      <c r="L261" s="9">
        <v>56</v>
      </c>
      <c r="M261" s="9">
        <v>0</v>
      </c>
      <c r="N261" s="6">
        <v>56</v>
      </c>
    </row>
    <row r="262" spans="2:14">
      <c r="B262" s="5">
        <v>2025</v>
      </c>
      <c r="C262" s="14">
        <v>46355</v>
      </c>
      <c r="D262" s="9" t="s">
        <v>63</v>
      </c>
      <c r="E262" s="9">
        <v>18.5</v>
      </c>
      <c r="F262" s="9" t="s">
        <v>37</v>
      </c>
      <c r="G262" s="9">
        <v>0</v>
      </c>
      <c r="H262" s="9"/>
      <c r="I262" s="9">
        <v>0</v>
      </c>
      <c r="J262" s="9" t="s">
        <v>19</v>
      </c>
      <c r="K262" s="9" t="s">
        <v>16</v>
      </c>
      <c r="L262" s="9">
        <v>27</v>
      </c>
      <c r="M262" s="9">
        <v>20</v>
      </c>
      <c r="N262" s="6">
        <v>7</v>
      </c>
    </row>
    <row r="263" spans="2:14">
      <c r="B263" s="5">
        <v>2025</v>
      </c>
      <c r="C263" s="14">
        <v>46362</v>
      </c>
      <c r="D263" s="9" t="s">
        <v>45</v>
      </c>
      <c r="E263" s="9">
        <v>15</v>
      </c>
      <c r="F263" s="9" t="s">
        <v>23</v>
      </c>
      <c r="G263" s="9">
        <v>1</v>
      </c>
      <c r="H263" s="9">
        <v>3</v>
      </c>
      <c r="I263" s="9">
        <v>0</v>
      </c>
      <c r="J263" s="9" t="s">
        <v>27</v>
      </c>
      <c r="K263" s="9" t="s">
        <v>24</v>
      </c>
      <c r="L263" s="9">
        <v>7</v>
      </c>
      <c r="M263" s="9">
        <v>28</v>
      </c>
      <c r="N263" s="6">
        <v>-21</v>
      </c>
    </row>
    <row r="264" spans="2:14">
      <c r="B264" s="5">
        <v>2025</v>
      </c>
      <c r="C264" s="14">
        <v>46375</v>
      </c>
      <c r="D264" s="9" t="s">
        <v>36</v>
      </c>
      <c r="E264" s="9">
        <v>19</v>
      </c>
      <c r="F264" s="9" t="s">
        <v>109</v>
      </c>
      <c r="G264" s="9">
        <v>1</v>
      </c>
      <c r="H264" s="9">
        <v>8</v>
      </c>
      <c r="I264" s="9">
        <v>1</v>
      </c>
      <c r="J264" s="9" t="s">
        <v>19</v>
      </c>
      <c r="K264" s="9" t="s">
        <v>16</v>
      </c>
      <c r="L264" s="9">
        <v>34</v>
      </c>
      <c r="M264" s="9">
        <v>24</v>
      </c>
      <c r="N264" s="6">
        <v>10</v>
      </c>
    </row>
    <row r="265" spans="2:14">
      <c r="B265" s="7">
        <v>2025</v>
      </c>
      <c r="C265" s="16">
        <v>46023</v>
      </c>
      <c r="D265" s="17" t="s">
        <v>45</v>
      </c>
      <c r="E265" s="17">
        <v>15</v>
      </c>
      <c r="F265" s="17" t="s">
        <v>110</v>
      </c>
      <c r="G265" s="17">
        <v>1</v>
      </c>
      <c r="H265" s="17">
        <v>1</v>
      </c>
      <c r="I265" s="17">
        <v>1</v>
      </c>
      <c r="J265" s="17" t="s">
        <v>27</v>
      </c>
      <c r="K265" s="17" t="s">
        <v>24</v>
      </c>
      <c r="L265" s="17">
        <v>3</v>
      </c>
      <c r="M265" s="17">
        <v>38</v>
      </c>
      <c r="N265" s="8">
        <v>-35</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22540D-7B4A-4905-A9DE-66B9F27E3798}">
  <sheetPr>
    <tabColor theme="3" tint="0.749992370372631"/>
  </sheetPr>
  <dimension ref="B2:K217"/>
  <sheetViews>
    <sheetView showGridLines="0" topLeftCell="A7" workbookViewId="0">
      <selection activeCell="G19" sqref="G19:K38"/>
    </sheetView>
  </sheetViews>
  <sheetFormatPr defaultRowHeight="14.4"/>
  <cols>
    <col min="1" max="1" width="2.77734375" customWidth="1"/>
    <col min="6" max="6" width="4.33203125" customWidth="1"/>
    <col min="7" max="7" width="40.5546875" customWidth="1"/>
    <col min="8" max="8" width="13.6640625" bestFit="1" customWidth="1"/>
    <col min="10" max="10" width="16.5546875" bestFit="1" customWidth="1"/>
  </cols>
  <sheetData>
    <row r="2" spans="2:11">
      <c r="B2" s="3" t="s">
        <v>113</v>
      </c>
      <c r="C2" s="3" t="s">
        <v>118</v>
      </c>
      <c r="D2" s="3" t="s">
        <v>8</v>
      </c>
      <c r="E2" s="4" t="s">
        <v>12</v>
      </c>
      <c r="G2" s="18" t="s">
        <v>124</v>
      </c>
      <c r="H2" s="20">
        <f>SUMIFS(Table15[Rank], Table15[site], "home")</f>
        <v>16130</v>
      </c>
      <c r="J2" s="18" t="s">
        <v>123</v>
      </c>
      <c r="K2" s="20">
        <v>131</v>
      </c>
    </row>
    <row r="3" spans="2:11">
      <c r="B3" s="3">
        <f>_xlfn.RANK.AVG(Table15[[#This Row],[margin]], Table15[margin], 1)</f>
        <v>1</v>
      </c>
      <c r="C3" s="3">
        <f>COUNTIF(Table15[margin], Table15[[#This Row],[margin]])</f>
        <v>1</v>
      </c>
      <c r="D3" s="5" t="s">
        <v>19</v>
      </c>
      <c r="E3" s="6">
        <v>-21</v>
      </c>
      <c r="G3" s="18" t="s">
        <v>125</v>
      </c>
      <c r="H3" s="20">
        <f>SUMIFS(Table15[Rank], Table15[site], "away")</f>
        <v>7090</v>
      </c>
      <c r="J3" s="18" t="s">
        <v>123</v>
      </c>
      <c r="K3" s="20">
        <v>84</v>
      </c>
    </row>
    <row r="4" spans="2:11">
      <c r="B4" s="3">
        <f>_xlfn.RANK.AVG(Table15[[#This Row],[margin]], Table15[margin], 1)</f>
        <v>2.5</v>
      </c>
      <c r="C4" s="3">
        <f>COUNTIF(Table15[margin], Table15[[#This Row],[margin]])</f>
        <v>2</v>
      </c>
      <c r="D4" s="5" t="s">
        <v>19</v>
      </c>
      <c r="E4" s="6">
        <v>-14</v>
      </c>
    </row>
    <row r="5" spans="2:11">
      <c r="B5" s="3">
        <f>_xlfn.RANK.AVG(Table15[[#This Row],[margin]], Table15[margin], 1)</f>
        <v>2.5</v>
      </c>
      <c r="C5" s="3">
        <f>COUNTIF(Table15[margin], Table15[[#This Row],[margin]])</f>
        <v>2</v>
      </c>
      <c r="D5" s="5" t="s">
        <v>19</v>
      </c>
      <c r="E5" s="6">
        <v>-14</v>
      </c>
      <c r="G5" s="18" t="s">
        <v>126</v>
      </c>
      <c r="H5" s="20">
        <f>H2-131*(131+1)/2</f>
        <v>7484</v>
      </c>
    </row>
    <row r="6" spans="2:11">
      <c r="B6" s="3">
        <f>_xlfn.RANK.AVG(Table15[[#This Row],[margin]], Table15[margin], 1)</f>
        <v>4</v>
      </c>
      <c r="C6" s="3">
        <f>COUNTIF(Table15[margin], Table15[[#This Row],[margin]])</f>
        <v>1</v>
      </c>
      <c r="D6" s="5" t="s">
        <v>19</v>
      </c>
      <c r="E6" s="6">
        <v>-12</v>
      </c>
      <c r="G6" s="18" t="s">
        <v>127</v>
      </c>
      <c r="H6" s="20">
        <f>H3-84*(84+1)/2</f>
        <v>3520</v>
      </c>
    </row>
    <row r="7" spans="2:11">
      <c r="B7" s="3">
        <f>_xlfn.RANK.AVG(Table15[[#This Row],[margin]], Table15[margin], 1)</f>
        <v>5</v>
      </c>
      <c r="C7" s="3">
        <f>COUNTIF(Table15[margin], Table15[[#This Row],[margin]])</f>
        <v>1</v>
      </c>
      <c r="D7" s="5" t="s">
        <v>15</v>
      </c>
      <c r="E7" s="6">
        <v>-10</v>
      </c>
    </row>
    <row r="8" spans="2:11">
      <c r="B8" s="3">
        <f>_xlfn.RANK.AVG(Table15[[#This Row],[margin]], Table15[margin], 1)</f>
        <v>7.5</v>
      </c>
      <c r="C8" s="3">
        <f>COUNTIF(Table15[margin], Table15[[#This Row],[margin]])</f>
        <v>4</v>
      </c>
      <c r="D8" s="5" t="s">
        <v>19</v>
      </c>
      <c r="E8" s="6">
        <v>-7</v>
      </c>
      <c r="G8" s="18" t="s">
        <v>128</v>
      </c>
      <c r="H8" s="20">
        <f>(K2*K3)/2</f>
        <v>5502</v>
      </c>
    </row>
    <row r="9" spans="2:11">
      <c r="B9" s="3">
        <f>_xlfn.RANK.AVG(Table15[[#This Row],[margin]], Table15[margin], 1)</f>
        <v>7.5</v>
      </c>
      <c r="C9" s="3">
        <f>COUNTIF(Table15[margin], Table15[[#This Row],[margin]])</f>
        <v>4</v>
      </c>
      <c r="D9" s="5" t="s">
        <v>19</v>
      </c>
      <c r="E9" s="6">
        <v>-7</v>
      </c>
      <c r="G9" s="18" t="s">
        <v>117</v>
      </c>
      <c r="H9" s="20">
        <f>SQRT(K2*K3*(K2+K3+1)/12)</f>
        <v>445.0528058556647</v>
      </c>
    </row>
    <row r="10" spans="2:11">
      <c r="B10" s="3">
        <f>_xlfn.RANK.AVG(Table15[[#This Row],[margin]], Table15[margin], 1)</f>
        <v>7.5</v>
      </c>
      <c r="C10" s="3">
        <f>COUNTIF(Table15[margin], Table15[[#This Row],[margin]])</f>
        <v>4</v>
      </c>
      <c r="D10" s="5" t="s">
        <v>15</v>
      </c>
      <c r="E10" s="6">
        <v>-7</v>
      </c>
    </row>
    <row r="11" spans="2:11">
      <c r="B11" s="3">
        <f>_xlfn.RANK.AVG(Table15[[#This Row],[margin]], Table15[margin], 1)</f>
        <v>7.5</v>
      </c>
      <c r="C11" s="3">
        <f>COUNTIF(Table15[margin], Table15[[#This Row],[margin]])</f>
        <v>4</v>
      </c>
      <c r="D11" s="5" t="s">
        <v>15</v>
      </c>
      <c r="E11" s="6">
        <v>-7</v>
      </c>
      <c r="G11" s="19" t="s">
        <v>129</v>
      </c>
      <c r="H11" s="20" cm="1">
        <f t="array" ref="H11">SUMPRODUCT(Table15[Ties]^2-1)</f>
        <v>7434</v>
      </c>
    </row>
    <row r="12" spans="2:11" ht="28.8">
      <c r="B12" s="3">
        <f>_xlfn.RANK.AVG(Table15[[#This Row],[margin]], Table15[margin], 1)</f>
        <v>11</v>
      </c>
      <c r="C12" s="3">
        <f>COUNTIF(Table15[margin], Table15[[#This Row],[margin]])</f>
        <v>3</v>
      </c>
      <c r="D12" s="5" t="s">
        <v>19</v>
      </c>
      <c r="E12" s="6">
        <v>-6</v>
      </c>
      <c r="G12" s="19" t="s">
        <v>130</v>
      </c>
      <c r="H12" s="20">
        <f>SQRT(K2*K3/12*((K2+K3+1)-H11/((K2+K3)*(K2+K3-1))))</f>
        <v>444.88631922708868</v>
      </c>
    </row>
    <row r="13" spans="2:11">
      <c r="B13" s="3">
        <f>_xlfn.RANK.AVG(Table15[[#This Row],[margin]], Table15[margin], 1)</f>
        <v>11</v>
      </c>
      <c r="C13" s="3">
        <f>COUNTIF(Table15[margin], Table15[[#This Row],[margin]])</f>
        <v>3</v>
      </c>
      <c r="D13" s="5" t="s">
        <v>19</v>
      </c>
      <c r="E13" s="6">
        <v>-6</v>
      </c>
      <c r="G13" s="12"/>
    </row>
    <row r="14" spans="2:11">
      <c r="B14" s="3">
        <f>_xlfn.RANK.AVG(Table15[[#This Row],[margin]], Table15[margin], 1)</f>
        <v>11</v>
      </c>
      <c r="C14" s="3">
        <f>COUNTIF(Table15[margin], Table15[[#This Row],[margin]])</f>
        <v>3</v>
      </c>
      <c r="D14" s="5" t="s">
        <v>15</v>
      </c>
      <c r="E14" s="6">
        <v>-6</v>
      </c>
    </row>
    <row r="15" spans="2:11">
      <c r="B15" s="3">
        <f>_xlfn.RANK.AVG(Table15[[#This Row],[margin]], Table15[margin], 1)</f>
        <v>14.5</v>
      </c>
      <c r="C15" s="3">
        <f>COUNTIF(Table15[margin], Table15[[#This Row],[margin]])</f>
        <v>4</v>
      </c>
      <c r="D15" s="5" t="s">
        <v>19</v>
      </c>
      <c r="E15" s="6">
        <v>-5</v>
      </c>
      <c r="G15" s="18" t="s">
        <v>121</v>
      </c>
      <c r="H15" s="20">
        <f>(H5-H8)/H12</f>
        <v>4.4550706873687966</v>
      </c>
    </row>
    <row r="16" spans="2:11">
      <c r="B16" s="3">
        <f>_xlfn.RANK.AVG(Table15[[#This Row],[margin]], Table15[margin], 1)</f>
        <v>14.5</v>
      </c>
      <c r="C16" s="3">
        <f>COUNTIF(Table15[margin], Table15[[#This Row],[margin]])</f>
        <v>4</v>
      </c>
      <c r="D16" s="5" t="s">
        <v>19</v>
      </c>
      <c r="E16" s="6">
        <v>-5</v>
      </c>
    </row>
    <row r="17" spans="2:11">
      <c r="B17" s="3">
        <f>_xlfn.RANK.AVG(Table15[[#This Row],[margin]], Table15[margin], 1)</f>
        <v>14.5</v>
      </c>
      <c r="C17" s="3">
        <f>COUNTIF(Table15[margin], Table15[[#This Row],[margin]])</f>
        <v>4</v>
      </c>
      <c r="D17" s="5" t="s">
        <v>15</v>
      </c>
      <c r="E17" s="6">
        <v>-5</v>
      </c>
      <c r="G17" s="18" t="s">
        <v>122</v>
      </c>
      <c r="H17" s="21">
        <f>2*_xlfn.NORM.S.DIST(-ABS(H15),TRUE)</f>
        <v>8.3865558017310508E-6</v>
      </c>
    </row>
    <row r="18" spans="2:11">
      <c r="B18" s="3">
        <f>_xlfn.RANK.AVG(Table15[[#This Row],[margin]], Table15[margin], 1)</f>
        <v>14.5</v>
      </c>
      <c r="C18" s="3">
        <f>COUNTIF(Table15[margin], Table15[[#This Row],[margin]])</f>
        <v>4</v>
      </c>
      <c r="D18" s="5" t="s">
        <v>15</v>
      </c>
      <c r="E18" s="6">
        <v>-5</v>
      </c>
    </row>
    <row r="19" spans="2:11" ht="14.4" customHeight="1">
      <c r="B19" s="3">
        <f>_xlfn.RANK.AVG(Table15[[#This Row],[margin]], Table15[margin], 1)</f>
        <v>19.5</v>
      </c>
      <c r="C19" s="3">
        <f>COUNTIF(Table15[margin], Table15[[#This Row],[margin]])</f>
        <v>6</v>
      </c>
      <c r="D19" s="5" t="s">
        <v>19</v>
      </c>
      <c r="E19" s="6">
        <v>-3</v>
      </c>
      <c r="G19" s="27" t="s">
        <v>131</v>
      </c>
      <c r="H19" s="27"/>
      <c r="I19" s="27"/>
      <c r="J19" s="27"/>
      <c r="K19" s="27"/>
    </row>
    <row r="20" spans="2:11">
      <c r="B20" s="3">
        <f>_xlfn.RANK.AVG(Table15[[#This Row],[margin]], Table15[margin], 1)</f>
        <v>19.5</v>
      </c>
      <c r="C20" s="3">
        <f>COUNTIF(Table15[margin], Table15[[#This Row],[margin]])</f>
        <v>6</v>
      </c>
      <c r="D20" s="5" t="s">
        <v>19</v>
      </c>
      <c r="E20" s="6">
        <v>-3</v>
      </c>
      <c r="G20" s="27"/>
      <c r="H20" s="27"/>
      <c r="I20" s="27"/>
      <c r="J20" s="27"/>
      <c r="K20" s="27"/>
    </row>
    <row r="21" spans="2:11">
      <c r="B21" s="3">
        <f>_xlfn.RANK.AVG(Table15[[#This Row],[margin]], Table15[margin], 1)</f>
        <v>19.5</v>
      </c>
      <c r="C21" s="3">
        <f>COUNTIF(Table15[margin], Table15[[#This Row],[margin]])</f>
        <v>6</v>
      </c>
      <c r="D21" s="5" t="s">
        <v>19</v>
      </c>
      <c r="E21" s="6">
        <v>-3</v>
      </c>
      <c r="G21" s="27"/>
      <c r="H21" s="27"/>
      <c r="I21" s="27"/>
      <c r="J21" s="27"/>
      <c r="K21" s="27"/>
    </row>
    <row r="22" spans="2:11">
      <c r="B22" s="3">
        <f>_xlfn.RANK.AVG(Table15[[#This Row],[margin]], Table15[margin], 1)</f>
        <v>19.5</v>
      </c>
      <c r="C22" s="3">
        <f>COUNTIF(Table15[margin], Table15[[#This Row],[margin]])</f>
        <v>6</v>
      </c>
      <c r="D22" s="5" t="s">
        <v>19</v>
      </c>
      <c r="E22" s="6">
        <v>-3</v>
      </c>
      <c r="G22" s="27"/>
      <c r="H22" s="27"/>
      <c r="I22" s="27"/>
      <c r="J22" s="27"/>
      <c r="K22" s="27"/>
    </row>
    <row r="23" spans="2:11">
      <c r="B23" s="3">
        <f>_xlfn.RANK.AVG(Table15[[#This Row],[margin]], Table15[margin], 1)</f>
        <v>19.5</v>
      </c>
      <c r="C23" s="3">
        <f>COUNTIF(Table15[margin], Table15[[#This Row],[margin]])</f>
        <v>6</v>
      </c>
      <c r="D23" s="5" t="s">
        <v>15</v>
      </c>
      <c r="E23" s="6">
        <v>-3</v>
      </c>
      <c r="G23" s="27"/>
      <c r="H23" s="27"/>
      <c r="I23" s="27"/>
      <c r="J23" s="27"/>
      <c r="K23" s="27"/>
    </row>
    <row r="24" spans="2:11">
      <c r="B24" s="3">
        <f>_xlfn.RANK.AVG(Table15[[#This Row],[margin]], Table15[margin], 1)</f>
        <v>19.5</v>
      </c>
      <c r="C24" s="3">
        <f>COUNTIF(Table15[margin], Table15[[#This Row],[margin]])</f>
        <v>6</v>
      </c>
      <c r="D24" s="5" t="s">
        <v>15</v>
      </c>
      <c r="E24" s="6">
        <v>-3</v>
      </c>
      <c r="G24" s="27"/>
      <c r="H24" s="27"/>
      <c r="I24" s="27"/>
      <c r="J24" s="27"/>
      <c r="K24" s="27"/>
    </row>
    <row r="25" spans="2:11">
      <c r="B25" s="3">
        <f>_xlfn.RANK.AVG(Table15[[#This Row],[margin]], Table15[margin], 1)</f>
        <v>23</v>
      </c>
      <c r="C25" s="3">
        <f>COUNTIF(Table15[margin], Table15[[#This Row],[margin]])</f>
        <v>1</v>
      </c>
      <c r="D25" s="5" t="s">
        <v>15</v>
      </c>
      <c r="E25" s="6">
        <v>-2</v>
      </c>
      <c r="G25" s="27"/>
      <c r="H25" s="27"/>
      <c r="I25" s="27"/>
      <c r="J25" s="27"/>
      <c r="K25" s="27"/>
    </row>
    <row r="26" spans="2:11">
      <c r="B26" s="3">
        <f>_xlfn.RANK.AVG(Table15[[#This Row],[margin]], Table15[margin], 1)</f>
        <v>24.5</v>
      </c>
      <c r="C26" s="3">
        <f>COUNTIF(Table15[margin], Table15[[#This Row],[margin]])</f>
        <v>2</v>
      </c>
      <c r="D26" s="5" t="s">
        <v>19</v>
      </c>
      <c r="E26" s="6">
        <v>-1</v>
      </c>
      <c r="G26" s="27"/>
      <c r="H26" s="27"/>
      <c r="I26" s="27"/>
      <c r="J26" s="27"/>
      <c r="K26" s="27"/>
    </row>
    <row r="27" spans="2:11">
      <c r="B27" s="3">
        <f>_xlfn.RANK.AVG(Table15[[#This Row],[margin]], Table15[margin], 1)</f>
        <v>24.5</v>
      </c>
      <c r="C27" s="3">
        <f>COUNTIF(Table15[margin], Table15[[#This Row],[margin]])</f>
        <v>2</v>
      </c>
      <c r="D27" s="5" t="s">
        <v>15</v>
      </c>
      <c r="E27" s="6">
        <v>-1</v>
      </c>
      <c r="G27" s="27"/>
      <c r="H27" s="27"/>
      <c r="I27" s="27"/>
      <c r="J27" s="27"/>
      <c r="K27" s="27"/>
    </row>
    <row r="28" spans="2:11">
      <c r="B28" s="3">
        <f>_xlfn.RANK.AVG(Table15[[#This Row],[margin]], Table15[margin], 1)</f>
        <v>26.5</v>
      </c>
      <c r="C28" s="3">
        <f>COUNTIF(Table15[margin], Table15[[#This Row],[margin]])</f>
        <v>2</v>
      </c>
      <c r="D28" s="5" t="s">
        <v>19</v>
      </c>
      <c r="E28" s="6">
        <v>1</v>
      </c>
      <c r="G28" s="27"/>
      <c r="H28" s="27"/>
      <c r="I28" s="27"/>
      <c r="J28" s="27"/>
      <c r="K28" s="27"/>
    </row>
    <row r="29" spans="2:11">
      <c r="B29" s="3">
        <f>_xlfn.RANK.AVG(Table15[[#This Row],[margin]], Table15[margin], 1)</f>
        <v>26.5</v>
      </c>
      <c r="C29" s="3">
        <f>COUNTIF(Table15[margin], Table15[[#This Row],[margin]])</f>
        <v>2</v>
      </c>
      <c r="D29" s="5" t="s">
        <v>19</v>
      </c>
      <c r="E29" s="6">
        <v>1</v>
      </c>
      <c r="G29" s="27"/>
      <c r="H29" s="27"/>
      <c r="I29" s="27"/>
      <c r="J29" s="27"/>
      <c r="K29" s="27"/>
    </row>
    <row r="30" spans="2:11">
      <c r="B30" s="3">
        <f>_xlfn.RANK.AVG(Table15[[#This Row],[margin]], Table15[margin], 1)</f>
        <v>29.5</v>
      </c>
      <c r="C30" s="3">
        <f>COUNTIF(Table15[margin], Table15[[#This Row],[margin]])</f>
        <v>4</v>
      </c>
      <c r="D30" s="5" t="s">
        <v>19</v>
      </c>
      <c r="E30" s="6">
        <v>2</v>
      </c>
      <c r="G30" s="27"/>
      <c r="H30" s="27"/>
      <c r="I30" s="27"/>
      <c r="J30" s="27"/>
      <c r="K30" s="27"/>
    </row>
    <row r="31" spans="2:11">
      <c r="B31" s="3">
        <f>_xlfn.RANK.AVG(Table15[[#This Row],[margin]], Table15[margin], 1)</f>
        <v>29.5</v>
      </c>
      <c r="C31" s="3">
        <f>COUNTIF(Table15[margin], Table15[[#This Row],[margin]])</f>
        <v>4</v>
      </c>
      <c r="D31" s="5" t="s">
        <v>19</v>
      </c>
      <c r="E31" s="6">
        <v>2</v>
      </c>
      <c r="G31" s="27"/>
      <c r="H31" s="27"/>
      <c r="I31" s="27"/>
      <c r="J31" s="27"/>
      <c r="K31" s="27"/>
    </row>
    <row r="32" spans="2:11">
      <c r="B32" s="3">
        <f>_xlfn.RANK.AVG(Table15[[#This Row],[margin]], Table15[margin], 1)</f>
        <v>29.5</v>
      </c>
      <c r="C32" s="3">
        <f>COUNTIF(Table15[margin], Table15[[#This Row],[margin]])</f>
        <v>4</v>
      </c>
      <c r="D32" s="5" t="s">
        <v>15</v>
      </c>
      <c r="E32" s="6">
        <v>2</v>
      </c>
      <c r="G32" s="27"/>
      <c r="H32" s="27"/>
      <c r="I32" s="27"/>
      <c r="J32" s="27"/>
      <c r="K32" s="27"/>
    </row>
    <row r="33" spans="2:11">
      <c r="B33" s="3">
        <f>_xlfn.RANK.AVG(Table15[[#This Row],[margin]], Table15[margin], 1)</f>
        <v>29.5</v>
      </c>
      <c r="C33" s="3">
        <f>COUNTIF(Table15[margin], Table15[[#This Row],[margin]])</f>
        <v>4</v>
      </c>
      <c r="D33" s="5" t="s">
        <v>15</v>
      </c>
      <c r="E33" s="6">
        <v>2</v>
      </c>
      <c r="G33" s="27"/>
      <c r="H33" s="27"/>
      <c r="I33" s="27"/>
      <c r="J33" s="27"/>
      <c r="K33" s="27"/>
    </row>
    <row r="34" spans="2:11">
      <c r="B34" s="3">
        <f>_xlfn.RANK.AVG(Table15[[#This Row],[margin]], Table15[margin], 1)</f>
        <v>35</v>
      </c>
      <c r="C34" s="3">
        <f>COUNTIF(Table15[margin], Table15[[#This Row],[margin]])</f>
        <v>7</v>
      </c>
      <c r="D34" s="5" t="s">
        <v>19</v>
      </c>
      <c r="E34" s="6">
        <v>3</v>
      </c>
      <c r="G34" s="27"/>
      <c r="H34" s="27"/>
      <c r="I34" s="27"/>
      <c r="J34" s="27"/>
      <c r="K34" s="27"/>
    </row>
    <row r="35" spans="2:11">
      <c r="B35" s="3">
        <f>_xlfn.RANK.AVG(Table15[[#This Row],[margin]], Table15[margin], 1)</f>
        <v>35</v>
      </c>
      <c r="C35" s="3">
        <f>COUNTIF(Table15[margin], Table15[[#This Row],[margin]])</f>
        <v>7</v>
      </c>
      <c r="D35" s="5" t="s">
        <v>19</v>
      </c>
      <c r="E35" s="6">
        <v>3</v>
      </c>
      <c r="G35" s="27"/>
      <c r="H35" s="27"/>
      <c r="I35" s="27"/>
      <c r="J35" s="27"/>
      <c r="K35" s="27"/>
    </row>
    <row r="36" spans="2:11">
      <c r="B36" s="3">
        <f>_xlfn.RANK.AVG(Table15[[#This Row],[margin]], Table15[margin], 1)</f>
        <v>35</v>
      </c>
      <c r="C36" s="3">
        <f>COUNTIF(Table15[margin], Table15[[#This Row],[margin]])</f>
        <v>7</v>
      </c>
      <c r="D36" s="5" t="s">
        <v>19</v>
      </c>
      <c r="E36" s="6">
        <v>3</v>
      </c>
      <c r="G36" s="27"/>
      <c r="H36" s="27"/>
      <c r="I36" s="27"/>
      <c r="J36" s="27"/>
      <c r="K36" s="27"/>
    </row>
    <row r="37" spans="2:11">
      <c r="B37" s="3">
        <f>_xlfn.RANK.AVG(Table15[[#This Row],[margin]], Table15[margin], 1)</f>
        <v>35</v>
      </c>
      <c r="C37" s="3">
        <f>COUNTIF(Table15[margin], Table15[[#This Row],[margin]])</f>
        <v>7</v>
      </c>
      <c r="D37" s="5" t="s">
        <v>19</v>
      </c>
      <c r="E37" s="6">
        <v>3</v>
      </c>
      <c r="G37" s="27"/>
      <c r="H37" s="27"/>
      <c r="I37" s="27"/>
      <c r="J37" s="27"/>
      <c r="K37" s="27"/>
    </row>
    <row r="38" spans="2:11">
      <c r="B38" s="3">
        <f>_xlfn.RANK.AVG(Table15[[#This Row],[margin]], Table15[margin], 1)</f>
        <v>35</v>
      </c>
      <c r="C38" s="3">
        <f>COUNTIF(Table15[margin], Table15[[#This Row],[margin]])</f>
        <v>7</v>
      </c>
      <c r="D38" s="5" t="s">
        <v>15</v>
      </c>
      <c r="E38" s="6">
        <v>3</v>
      </c>
      <c r="G38" s="27"/>
      <c r="H38" s="27"/>
      <c r="I38" s="27"/>
      <c r="J38" s="27"/>
      <c r="K38" s="27"/>
    </row>
    <row r="39" spans="2:11">
      <c r="B39" s="3">
        <f>_xlfn.RANK.AVG(Table15[[#This Row],[margin]], Table15[margin], 1)</f>
        <v>35</v>
      </c>
      <c r="C39" s="3">
        <f>COUNTIF(Table15[margin], Table15[[#This Row],[margin]])</f>
        <v>7</v>
      </c>
      <c r="D39" s="5" t="s">
        <v>15</v>
      </c>
      <c r="E39" s="6">
        <v>3</v>
      </c>
    </row>
    <row r="40" spans="2:11">
      <c r="B40" s="3">
        <f>_xlfn.RANK.AVG(Table15[[#This Row],[margin]], Table15[margin], 1)</f>
        <v>35</v>
      </c>
      <c r="C40" s="3">
        <f>COUNTIF(Table15[margin], Table15[[#This Row],[margin]])</f>
        <v>7</v>
      </c>
      <c r="D40" s="5" t="s">
        <v>15</v>
      </c>
      <c r="E40" s="6">
        <v>3</v>
      </c>
    </row>
    <row r="41" spans="2:11">
      <c r="B41" s="3">
        <f>_xlfn.RANK.AVG(Table15[[#This Row],[margin]], Table15[margin], 1)</f>
        <v>40.5</v>
      </c>
      <c r="C41" s="3">
        <f>COUNTIF(Table15[margin], Table15[[#This Row],[margin]])</f>
        <v>4</v>
      </c>
      <c r="D41" s="5" t="s">
        <v>19</v>
      </c>
      <c r="E41" s="6">
        <v>4</v>
      </c>
    </row>
    <row r="42" spans="2:11">
      <c r="B42" s="3">
        <f>_xlfn.RANK.AVG(Table15[[#This Row],[margin]], Table15[margin], 1)</f>
        <v>40.5</v>
      </c>
      <c r="C42" s="3">
        <f>COUNTIF(Table15[margin], Table15[[#This Row],[margin]])</f>
        <v>4</v>
      </c>
      <c r="D42" s="5" t="s">
        <v>19</v>
      </c>
      <c r="E42" s="6">
        <v>4</v>
      </c>
    </row>
    <row r="43" spans="2:11">
      <c r="B43" s="3">
        <f>_xlfn.RANK.AVG(Table15[[#This Row],[margin]], Table15[margin], 1)</f>
        <v>40.5</v>
      </c>
      <c r="C43" s="3">
        <f>COUNTIF(Table15[margin], Table15[[#This Row],[margin]])</f>
        <v>4</v>
      </c>
      <c r="D43" s="5" t="s">
        <v>15</v>
      </c>
      <c r="E43" s="6">
        <v>4</v>
      </c>
    </row>
    <row r="44" spans="2:11">
      <c r="B44" s="3">
        <f>_xlfn.RANK.AVG(Table15[[#This Row],[margin]], Table15[margin], 1)</f>
        <v>40.5</v>
      </c>
      <c r="C44" s="3">
        <f>COUNTIF(Table15[margin], Table15[[#This Row],[margin]])</f>
        <v>4</v>
      </c>
      <c r="D44" s="5" t="s">
        <v>15</v>
      </c>
      <c r="E44" s="6">
        <v>4</v>
      </c>
    </row>
    <row r="45" spans="2:11">
      <c r="B45" s="3">
        <f>_xlfn.RANK.AVG(Table15[[#This Row],[margin]], Table15[margin], 1)</f>
        <v>44.5</v>
      </c>
      <c r="C45" s="3">
        <f>COUNTIF(Table15[margin], Table15[[#This Row],[margin]])</f>
        <v>4</v>
      </c>
      <c r="D45" s="5" t="s">
        <v>19</v>
      </c>
      <c r="E45" s="6">
        <v>5</v>
      </c>
    </row>
    <row r="46" spans="2:11">
      <c r="B46" s="3">
        <f>_xlfn.RANK.AVG(Table15[[#This Row],[margin]], Table15[margin], 1)</f>
        <v>44.5</v>
      </c>
      <c r="C46" s="3">
        <f>COUNTIF(Table15[margin], Table15[[#This Row],[margin]])</f>
        <v>4</v>
      </c>
      <c r="D46" s="5" t="s">
        <v>19</v>
      </c>
      <c r="E46" s="6">
        <v>5</v>
      </c>
    </row>
    <row r="47" spans="2:11">
      <c r="B47" s="3">
        <f>_xlfn.RANK.AVG(Table15[[#This Row],[margin]], Table15[margin], 1)</f>
        <v>44.5</v>
      </c>
      <c r="C47" s="3">
        <f>COUNTIF(Table15[margin], Table15[[#This Row],[margin]])</f>
        <v>4</v>
      </c>
      <c r="D47" s="5" t="s">
        <v>15</v>
      </c>
      <c r="E47" s="6">
        <v>5</v>
      </c>
    </row>
    <row r="48" spans="2:11">
      <c r="B48" s="3">
        <f>_xlfn.RANK.AVG(Table15[[#This Row],[margin]], Table15[margin], 1)</f>
        <v>44.5</v>
      </c>
      <c r="C48" s="3">
        <f>COUNTIF(Table15[margin], Table15[[#This Row],[margin]])</f>
        <v>4</v>
      </c>
      <c r="D48" s="5" t="s">
        <v>15</v>
      </c>
      <c r="E48" s="6">
        <v>5</v>
      </c>
    </row>
    <row r="49" spans="2:5">
      <c r="B49" s="3">
        <f>_xlfn.RANK.AVG(Table15[[#This Row],[margin]], Table15[margin], 1)</f>
        <v>49</v>
      </c>
      <c r="C49" s="3">
        <f>COUNTIF(Table15[margin], Table15[[#This Row],[margin]])</f>
        <v>5</v>
      </c>
      <c r="D49" s="5" t="s">
        <v>19</v>
      </c>
      <c r="E49" s="6">
        <v>6</v>
      </c>
    </row>
    <row r="50" spans="2:5">
      <c r="B50" s="3">
        <f>_xlfn.RANK.AVG(Table15[[#This Row],[margin]], Table15[margin], 1)</f>
        <v>49</v>
      </c>
      <c r="C50" s="3">
        <f>COUNTIF(Table15[margin], Table15[[#This Row],[margin]])</f>
        <v>5</v>
      </c>
      <c r="D50" s="5" t="s">
        <v>19</v>
      </c>
      <c r="E50" s="6">
        <v>6</v>
      </c>
    </row>
    <row r="51" spans="2:5">
      <c r="B51" s="3">
        <f>_xlfn.RANK.AVG(Table15[[#This Row],[margin]], Table15[margin], 1)</f>
        <v>49</v>
      </c>
      <c r="C51" s="3">
        <f>COUNTIF(Table15[margin], Table15[[#This Row],[margin]])</f>
        <v>5</v>
      </c>
      <c r="D51" s="5" t="s">
        <v>19</v>
      </c>
      <c r="E51" s="6">
        <v>6</v>
      </c>
    </row>
    <row r="52" spans="2:5">
      <c r="B52" s="3">
        <f>_xlfn.RANK.AVG(Table15[[#This Row],[margin]], Table15[margin], 1)</f>
        <v>49</v>
      </c>
      <c r="C52" s="3">
        <f>COUNTIF(Table15[margin], Table15[[#This Row],[margin]])</f>
        <v>5</v>
      </c>
      <c r="D52" s="5" t="s">
        <v>15</v>
      </c>
      <c r="E52" s="6">
        <v>6</v>
      </c>
    </row>
    <row r="53" spans="2:5">
      <c r="B53" s="3">
        <f>_xlfn.RANK.AVG(Table15[[#This Row],[margin]], Table15[margin], 1)</f>
        <v>49</v>
      </c>
      <c r="C53" s="3">
        <f>COUNTIF(Table15[margin], Table15[[#This Row],[margin]])</f>
        <v>5</v>
      </c>
      <c r="D53" s="5" t="s">
        <v>15</v>
      </c>
      <c r="E53" s="6">
        <v>6</v>
      </c>
    </row>
    <row r="54" spans="2:5">
      <c r="B54" s="3">
        <f>_xlfn.RANK.AVG(Table15[[#This Row],[margin]], Table15[margin], 1)</f>
        <v>55</v>
      </c>
      <c r="C54" s="3">
        <f>COUNTIF(Table15[margin], Table15[[#This Row],[margin]])</f>
        <v>7</v>
      </c>
      <c r="D54" s="5" t="s">
        <v>19</v>
      </c>
      <c r="E54" s="6">
        <v>7</v>
      </c>
    </row>
    <row r="55" spans="2:5">
      <c r="B55" s="3">
        <f>_xlfn.RANK.AVG(Table15[[#This Row],[margin]], Table15[margin], 1)</f>
        <v>55</v>
      </c>
      <c r="C55" s="3">
        <f>COUNTIF(Table15[margin], Table15[[#This Row],[margin]])</f>
        <v>7</v>
      </c>
      <c r="D55" s="5" t="s">
        <v>19</v>
      </c>
      <c r="E55" s="6">
        <v>7</v>
      </c>
    </row>
    <row r="56" spans="2:5">
      <c r="B56" s="3">
        <f>_xlfn.RANK.AVG(Table15[[#This Row],[margin]], Table15[margin], 1)</f>
        <v>55</v>
      </c>
      <c r="C56" s="3">
        <f>COUNTIF(Table15[margin], Table15[[#This Row],[margin]])</f>
        <v>7</v>
      </c>
      <c r="D56" s="5" t="s">
        <v>19</v>
      </c>
      <c r="E56" s="6">
        <v>7</v>
      </c>
    </row>
    <row r="57" spans="2:5">
      <c r="B57" s="3">
        <f>_xlfn.RANK.AVG(Table15[[#This Row],[margin]], Table15[margin], 1)</f>
        <v>55</v>
      </c>
      <c r="C57" s="3">
        <f>COUNTIF(Table15[margin], Table15[[#This Row],[margin]])</f>
        <v>7</v>
      </c>
      <c r="D57" s="5" t="s">
        <v>19</v>
      </c>
      <c r="E57" s="6">
        <v>7</v>
      </c>
    </row>
    <row r="58" spans="2:5">
      <c r="B58" s="3">
        <f>_xlfn.RANK.AVG(Table15[[#This Row],[margin]], Table15[margin], 1)</f>
        <v>55</v>
      </c>
      <c r="C58" s="3">
        <f>COUNTIF(Table15[margin], Table15[[#This Row],[margin]])</f>
        <v>7</v>
      </c>
      <c r="D58" s="5" t="s">
        <v>19</v>
      </c>
      <c r="E58" s="6">
        <v>7</v>
      </c>
    </row>
    <row r="59" spans="2:5">
      <c r="B59" s="3">
        <f>_xlfn.RANK.AVG(Table15[[#This Row],[margin]], Table15[margin], 1)</f>
        <v>55</v>
      </c>
      <c r="C59" s="3">
        <f>COUNTIF(Table15[margin], Table15[[#This Row],[margin]])</f>
        <v>7</v>
      </c>
      <c r="D59" s="5" t="s">
        <v>15</v>
      </c>
      <c r="E59" s="6">
        <v>7</v>
      </c>
    </row>
    <row r="60" spans="2:5">
      <c r="B60" s="3">
        <f>_xlfn.RANK.AVG(Table15[[#This Row],[margin]], Table15[margin], 1)</f>
        <v>55</v>
      </c>
      <c r="C60" s="3">
        <f>COUNTIF(Table15[margin], Table15[[#This Row],[margin]])</f>
        <v>7</v>
      </c>
      <c r="D60" s="5" t="s">
        <v>15</v>
      </c>
      <c r="E60" s="6">
        <v>7</v>
      </c>
    </row>
    <row r="61" spans="2:5">
      <c r="B61" s="3">
        <f>_xlfn.RANK.AVG(Table15[[#This Row],[margin]], Table15[margin], 1)</f>
        <v>59</v>
      </c>
      <c r="C61" s="3">
        <f>COUNTIF(Table15[margin], Table15[[#This Row],[margin]])</f>
        <v>1</v>
      </c>
      <c r="D61" s="5" t="s">
        <v>19</v>
      </c>
      <c r="E61" s="6">
        <v>8</v>
      </c>
    </row>
    <row r="62" spans="2:5">
      <c r="B62" s="3">
        <f>_xlfn.RANK.AVG(Table15[[#This Row],[margin]], Table15[margin], 1)</f>
        <v>60</v>
      </c>
      <c r="C62" s="3">
        <f>COUNTIF(Table15[margin], Table15[[#This Row],[margin]])</f>
        <v>1</v>
      </c>
      <c r="D62" s="5" t="s">
        <v>15</v>
      </c>
      <c r="E62" s="6">
        <v>9</v>
      </c>
    </row>
    <row r="63" spans="2:5">
      <c r="B63" s="3">
        <f>_xlfn.RANK.AVG(Table15[[#This Row],[margin]], Table15[margin], 1)</f>
        <v>61.5</v>
      </c>
      <c r="C63" s="3">
        <f>COUNTIF(Table15[margin], Table15[[#This Row],[margin]])</f>
        <v>2</v>
      </c>
      <c r="D63" s="5" t="s">
        <v>19</v>
      </c>
      <c r="E63" s="6">
        <v>10</v>
      </c>
    </row>
    <row r="64" spans="2:5">
      <c r="B64" s="3">
        <f>_xlfn.RANK.AVG(Table15[[#This Row],[margin]], Table15[margin], 1)</f>
        <v>61.5</v>
      </c>
      <c r="C64" s="3">
        <f>COUNTIF(Table15[margin], Table15[[#This Row],[margin]])</f>
        <v>2</v>
      </c>
      <c r="D64" s="5" t="s">
        <v>19</v>
      </c>
      <c r="E64" s="6">
        <v>10</v>
      </c>
    </row>
    <row r="65" spans="2:5">
      <c r="B65" s="3">
        <f>_xlfn.RANK.AVG(Table15[[#This Row],[margin]], Table15[margin], 1)</f>
        <v>64</v>
      </c>
      <c r="C65" s="3">
        <f>COUNTIF(Table15[margin], Table15[[#This Row],[margin]])</f>
        <v>3</v>
      </c>
      <c r="D65" s="5" t="s">
        <v>19</v>
      </c>
      <c r="E65" s="6">
        <v>11</v>
      </c>
    </row>
    <row r="66" spans="2:5">
      <c r="B66" s="3">
        <f>_xlfn.RANK.AVG(Table15[[#This Row],[margin]], Table15[margin], 1)</f>
        <v>64</v>
      </c>
      <c r="C66" s="3">
        <f>COUNTIF(Table15[margin], Table15[[#This Row],[margin]])</f>
        <v>3</v>
      </c>
      <c r="D66" s="5" t="s">
        <v>15</v>
      </c>
      <c r="E66" s="6">
        <v>11</v>
      </c>
    </row>
    <row r="67" spans="2:5">
      <c r="B67" s="3">
        <f>_xlfn.RANK.AVG(Table15[[#This Row],[margin]], Table15[margin], 1)</f>
        <v>64</v>
      </c>
      <c r="C67" s="3">
        <f>COUNTIF(Table15[margin], Table15[[#This Row],[margin]])</f>
        <v>3</v>
      </c>
      <c r="D67" s="5" t="s">
        <v>15</v>
      </c>
      <c r="E67" s="6">
        <v>11</v>
      </c>
    </row>
    <row r="68" spans="2:5">
      <c r="B68" s="3">
        <f>_xlfn.RANK.AVG(Table15[[#This Row],[margin]], Table15[margin], 1)</f>
        <v>67</v>
      </c>
      <c r="C68" s="3">
        <f>COUNTIF(Table15[margin], Table15[[#This Row],[margin]])</f>
        <v>3</v>
      </c>
      <c r="D68" s="5" t="s">
        <v>19</v>
      </c>
      <c r="E68" s="6">
        <v>13</v>
      </c>
    </row>
    <row r="69" spans="2:5">
      <c r="B69" s="3">
        <f>_xlfn.RANK.AVG(Table15[[#This Row],[margin]], Table15[margin], 1)</f>
        <v>67</v>
      </c>
      <c r="C69" s="3">
        <f>COUNTIF(Table15[margin], Table15[[#This Row],[margin]])</f>
        <v>3</v>
      </c>
      <c r="D69" s="5" t="s">
        <v>15</v>
      </c>
      <c r="E69" s="6">
        <v>13</v>
      </c>
    </row>
    <row r="70" spans="2:5">
      <c r="B70" s="3">
        <f>_xlfn.RANK.AVG(Table15[[#This Row],[margin]], Table15[margin], 1)</f>
        <v>67</v>
      </c>
      <c r="C70" s="3">
        <f>COUNTIF(Table15[margin], Table15[[#This Row],[margin]])</f>
        <v>3</v>
      </c>
      <c r="D70" s="5" t="s">
        <v>15</v>
      </c>
      <c r="E70" s="6">
        <v>13</v>
      </c>
    </row>
    <row r="71" spans="2:5">
      <c r="B71" s="3">
        <f>_xlfn.RANK.AVG(Table15[[#This Row],[margin]], Table15[margin], 1)</f>
        <v>74</v>
      </c>
      <c r="C71" s="3">
        <f>COUNTIF(Table15[margin], Table15[[#This Row],[margin]])</f>
        <v>11</v>
      </c>
      <c r="D71" s="5" t="s">
        <v>19</v>
      </c>
      <c r="E71" s="6">
        <v>14</v>
      </c>
    </row>
    <row r="72" spans="2:5">
      <c r="B72" s="3">
        <f>_xlfn.RANK.AVG(Table15[[#This Row],[margin]], Table15[margin], 1)</f>
        <v>74</v>
      </c>
      <c r="C72" s="3">
        <f>COUNTIF(Table15[margin], Table15[[#This Row],[margin]])</f>
        <v>11</v>
      </c>
      <c r="D72" s="5" t="s">
        <v>19</v>
      </c>
      <c r="E72" s="6">
        <v>14</v>
      </c>
    </row>
    <row r="73" spans="2:5">
      <c r="B73" s="3">
        <f>_xlfn.RANK.AVG(Table15[[#This Row],[margin]], Table15[margin], 1)</f>
        <v>74</v>
      </c>
      <c r="C73" s="3">
        <f>COUNTIF(Table15[margin], Table15[[#This Row],[margin]])</f>
        <v>11</v>
      </c>
      <c r="D73" s="5" t="s">
        <v>19</v>
      </c>
      <c r="E73" s="6">
        <v>14</v>
      </c>
    </row>
    <row r="74" spans="2:5">
      <c r="B74" s="3">
        <f>_xlfn.RANK.AVG(Table15[[#This Row],[margin]], Table15[margin], 1)</f>
        <v>74</v>
      </c>
      <c r="C74" s="3">
        <f>COUNTIF(Table15[margin], Table15[[#This Row],[margin]])</f>
        <v>11</v>
      </c>
      <c r="D74" s="5" t="s">
        <v>15</v>
      </c>
      <c r="E74" s="6">
        <v>14</v>
      </c>
    </row>
    <row r="75" spans="2:5">
      <c r="B75" s="3">
        <f>_xlfn.RANK.AVG(Table15[[#This Row],[margin]], Table15[margin], 1)</f>
        <v>74</v>
      </c>
      <c r="C75" s="3">
        <f>COUNTIF(Table15[margin], Table15[[#This Row],[margin]])</f>
        <v>11</v>
      </c>
      <c r="D75" s="5" t="s">
        <v>15</v>
      </c>
      <c r="E75" s="6">
        <v>14</v>
      </c>
    </row>
    <row r="76" spans="2:5">
      <c r="B76" s="3">
        <f>_xlfn.RANK.AVG(Table15[[#This Row],[margin]], Table15[margin], 1)</f>
        <v>74</v>
      </c>
      <c r="C76" s="3">
        <f>COUNTIF(Table15[margin], Table15[[#This Row],[margin]])</f>
        <v>11</v>
      </c>
      <c r="D76" s="5" t="s">
        <v>15</v>
      </c>
      <c r="E76" s="6">
        <v>14</v>
      </c>
    </row>
    <row r="77" spans="2:5">
      <c r="B77" s="3">
        <f>_xlfn.RANK.AVG(Table15[[#This Row],[margin]], Table15[margin], 1)</f>
        <v>74</v>
      </c>
      <c r="C77" s="3">
        <f>COUNTIF(Table15[margin], Table15[[#This Row],[margin]])</f>
        <v>11</v>
      </c>
      <c r="D77" s="5" t="s">
        <v>15</v>
      </c>
      <c r="E77" s="6">
        <v>14</v>
      </c>
    </row>
    <row r="78" spans="2:5">
      <c r="B78" s="3">
        <f>_xlfn.RANK.AVG(Table15[[#This Row],[margin]], Table15[margin], 1)</f>
        <v>74</v>
      </c>
      <c r="C78" s="3">
        <f>COUNTIF(Table15[margin], Table15[[#This Row],[margin]])</f>
        <v>11</v>
      </c>
      <c r="D78" s="5" t="s">
        <v>15</v>
      </c>
      <c r="E78" s="6">
        <v>14</v>
      </c>
    </row>
    <row r="79" spans="2:5">
      <c r="B79" s="3">
        <f>_xlfn.RANK.AVG(Table15[[#This Row],[margin]], Table15[margin], 1)</f>
        <v>74</v>
      </c>
      <c r="C79" s="3">
        <f>COUNTIF(Table15[margin], Table15[[#This Row],[margin]])</f>
        <v>11</v>
      </c>
      <c r="D79" s="5" t="s">
        <v>15</v>
      </c>
      <c r="E79" s="6">
        <v>14</v>
      </c>
    </row>
    <row r="80" spans="2:5">
      <c r="B80" s="3">
        <f>_xlfn.RANK.AVG(Table15[[#This Row],[margin]], Table15[margin], 1)</f>
        <v>74</v>
      </c>
      <c r="C80" s="3">
        <f>COUNTIF(Table15[margin], Table15[[#This Row],[margin]])</f>
        <v>11</v>
      </c>
      <c r="D80" s="5" t="s">
        <v>15</v>
      </c>
      <c r="E80" s="6">
        <v>14</v>
      </c>
    </row>
    <row r="81" spans="2:5">
      <c r="B81" s="3">
        <f>_xlfn.RANK.AVG(Table15[[#This Row],[margin]], Table15[margin], 1)</f>
        <v>74</v>
      </c>
      <c r="C81" s="3">
        <f>COUNTIF(Table15[margin], Table15[[#This Row],[margin]])</f>
        <v>11</v>
      </c>
      <c r="D81" s="5" t="s">
        <v>15</v>
      </c>
      <c r="E81" s="6">
        <v>14</v>
      </c>
    </row>
    <row r="82" spans="2:5">
      <c r="B82" s="3">
        <f>_xlfn.RANK.AVG(Table15[[#This Row],[margin]], Table15[margin], 1)</f>
        <v>80</v>
      </c>
      <c r="C82" s="3">
        <f>COUNTIF(Table15[margin], Table15[[#This Row],[margin]])</f>
        <v>1</v>
      </c>
      <c r="D82" s="5" t="s">
        <v>19</v>
      </c>
      <c r="E82" s="6">
        <v>15</v>
      </c>
    </row>
    <row r="83" spans="2:5">
      <c r="B83" s="3">
        <f>_xlfn.RANK.AVG(Table15[[#This Row],[margin]], Table15[margin], 1)</f>
        <v>82</v>
      </c>
      <c r="C83" s="3">
        <f>COUNTIF(Table15[margin], Table15[[#This Row],[margin]])</f>
        <v>3</v>
      </c>
      <c r="D83" s="5" t="s">
        <v>19</v>
      </c>
      <c r="E83" s="6">
        <v>16</v>
      </c>
    </row>
    <row r="84" spans="2:5">
      <c r="B84" s="3">
        <f>_xlfn.RANK.AVG(Table15[[#This Row],[margin]], Table15[margin], 1)</f>
        <v>82</v>
      </c>
      <c r="C84" s="3">
        <f>COUNTIF(Table15[margin], Table15[[#This Row],[margin]])</f>
        <v>3</v>
      </c>
      <c r="D84" s="5" t="s">
        <v>19</v>
      </c>
      <c r="E84" s="6">
        <v>16</v>
      </c>
    </row>
    <row r="85" spans="2:5">
      <c r="B85" s="3">
        <f>_xlfn.RANK.AVG(Table15[[#This Row],[margin]], Table15[margin], 1)</f>
        <v>82</v>
      </c>
      <c r="C85" s="3">
        <f>COUNTIF(Table15[margin], Table15[[#This Row],[margin]])</f>
        <v>3</v>
      </c>
      <c r="D85" s="5" t="s">
        <v>15</v>
      </c>
      <c r="E85" s="6">
        <v>16</v>
      </c>
    </row>
    <row r="86" spans="2:5">
      <c r="B86" s="3">
        <f>_xlfn.RANK.AVG(Table15[[#This Row],[margin]], Table15[margin], 1)</f>
        <v>85</v>
      </c>
      <c r="C86" s="3">
        <f>COUNTIF(Table15[margin], Table15[[#This Row],[margin]])</f>
        <v>3</v>
      </c>
      <c r="D86" s="5" t="s">
        <v>19</v>
      </c>
      <c r="E86" s="6">
        <v>17</v>
      </c>
    </row>
    <row r="87" spans="2:5">
      <c r="B87" s="3">
        <f>_xlfn.RANK.AVG(Table15[[#This Row],[margin]], Table15[margin], 1)</f>
        <v>85</v>
      </c>
      <c r="C87" s="3">
        <f>COUNTIF(Table15[margin], Table15[[#This Row],[margin]])</f>
        <v>3</v>
      </c>
      <c r="D87" s="5" t="s">
        <v>15</v>
      </c>
      <c r="E87" s="6">
        <v>17</v>
      </c>
    </row>
    <row r="88" spans="2:5">
      <c r="B88" s="3">
        <f>_xlfn.RANK.AVG(Table15[[#This Row],[margin]], Table15[margin], 1)</f>
        <v>85</v>
      </c>
      <c r="C88" s="3">
        <f>COUNTIF(Table15[margin], Table15[[#This Row],[margin]])</f>
        <v>3</v>
      </c>
      <c r="D88" s="5" t="s">
        <v>15</v>
      </c>
      <c r="E88" s="6">
        <v>17</v>
      </c>
    </row>
    <row r="89" spans="2:5">
      <c r="B89" s="3">
        <f>_xlfn.RANK.AVG(Table15[[#This Row],[margin]], Table15[margin], 1)</f>
        <v>88.5</v>
      </c>
      <c r="C89" s="3">
        <f>COUNTIF(Table15[margin], Table15[[#This Row],[margin]])</f>
        <v>4</v>
      </c>
      <c r="D89" s="5" t="s">
        <v>19</v>
      </c>
      <c r="E89" s="6">
        <v>18</v>
      </c>
    </row>
    <row r="90" spans="2:5">
      <c r="B90" s="3">
        <f>_xlfn.RANK.AVG(Table15[[#This Row],[margin]], Table15[margin], 1)</f>
        <v>88.5</v>
      </c>
      <c r="C90" s="3">
        <f>COUNTIF(Table15[margin], Table15[[#This Row],[margin]])</f>
        <v>4</v>
      </c>
      <c r="D90" s="5" t="s">
        <v>19</v>
      </c>
      <c r="E90" s="6">
        <v>18</v>
      </c>
    </row>
    <row r="91" spans="2:5">
      <c r="B91" s="3">
        <f>_xlfn.RANK.AVG(Table15[[#This Row],[margin]], Table15[margin], 1)</f>
        <v>88.5</v>
      </c>
      <c r="C91" s="3">
        <f>COUNTIF(Table15[margin], Table15[[#This Row],[margin]])</f>
        <v>4</v>
      </c>
      <c r="D91" s="5" t="s">
        <v>15</v>
      </c>
      <c r="E91" s="6">
        <v>18</v>
      </c>
    </row>
    <row r="92" spans="2:5">
      <c r="B92" s="3">
        <f>_xlfn.RANK.AVG(Table15[[#This Row],[margin]], Table15[margin], 1)</f>
        <v>88.5</v>
      </c>
      <c r="C92" s="3">
        <f>COUNTIF(Table15[margin], Table15[[#This Row],[margin]])</f>
        <v>4</v>
      </c>
      <c r="D92" s="5" t="s">
        <v>15</v>
      </c>
      <c r="E92" s="6">
        <v>18</v>
      </c>
    </row>
    <row r="93" spans="2:5">
      <c r="B93" s="3">
        <f>_xlfn.RANK.AVG(Table15[[#This Row],[margin]], Table15[margin], 1)</f>
        <v>93.5</v>
      </c>
      <c r="C93" s="3">
        <f>COUNTIF(Table15[margin], Table15[[#This Row],[margin]])</f>
        <v>6</v>
      </c>
      <c r="D93" s="5" t="s">
        <v>19</v>
      </c>
      <c r="E93" s="6">
        <v>19</v>
      </c>
    </row>
    <row r="94" spans="2:5">
      <c r="B94" s="3">
        <f>_xlfn.RANK.AVG(Table15[[#This Row],[margin]], Table15[margin], 1)</f>
        <v>93.5</v>
      </c>
      <c r="C94" s="3">
        <f>COUNTIF(Table15[margin], Table15[[#This Row],[margin]])</f>
        <v>6</v>
      </c>
      <c r="D94" s="5" t="s">
        <v>19</v>
      </c>
      <c r="E94" s="6">
        <v>19</v>
      </c>
    </row>
    <row r="95" spans="2:5">
      <c r="B95" s="3">
        <f>_xlfn.RANK.AVG(Table15[[#This Row],[margin]], Table15[margin], 1)</f>
        <v>93.5</v>
      </c>
      <c r="C95" s="3">
        <f>COUNTIF(Table15[margin], Table15[[#This Row],[margin]])</f>
        <v>6</v>
      </c>
      <c r="D95" s="5" t="s">
        <v>19</v>
      </c>
      <c r="E95" s="6">
        <v>19</v>
      </c>
    </row>
    <row r="96" spans="2:5">
      <c r="B96" s="3">
        <f>_xlfn.RANK.AVG(Table15[[#This Row],[margin]], Table15[margin], 1)</f>
        <v>93.5</v>
      </c>
      <c r="C96" s="3">
        <f>COUNTIF(Table15[margin], Table15[[#This Row],[margin]])</f>
        <v>6</v>
      </c>
      <c r="D96" s="5" t="s">
        <v>19</v>
      </c>
      <c r="E96" s="6">
        <v>19</v>
      </c>
    </row>
    <row r="97" spans="2:5">
      <c r="B97" s="3">
        <f>_xlfn.RANK.AVG(Table15[[#This Row],[margin]], Table15[margin], 1)</f>
        <v>93.5</v>
      </c>
      <c r="C97" s="3">
        <f>COUNTIF(Table15[margin], Table15[[#This Row],[margin]])</f>
        <v>6</v>
      </c>
      <c r="D97" s="5" t="s">
        <v>15</v>
      </c>
      <c r="E97" s="6">
        <v>19</v>
      </c>
    </row>
    <row r="98" spans="2:5">
      <c r="B98" s="3">
        <f>_xlfn.RANK.AVG(Table15[[#This Row],[margin]], Table15[margin], 1)</f>
        <v>93.5</v>
      </c>
      <c r="C98" s="3">
        <f>COUNTIF(Table15[margin], Table15[[#This Row],[margin]])</f>
        <v>6</v>
      </c>
      <c r="D98" s="5" t="s">
        <v>15</v>
      </c>
      <c r="E98" s="6">
        <v>19</v>
      </c>
    </row>
    <row r="99" spans="2:5">
      <c r="B99" s="3">
        <f>_xlfn.RANK.AVG(Table15[[#This Row],[margin]], Table15[margin], 1)</f>
        <v>97.5</v>
      </c>
      <c r="C99" s="3">
        <f>COUNTIF(Table15[margin], Table15[[#This Row],[margin]])</f>
        <v>2</v>
      </c>
      <c r="D99" s="5" t="s">
        <v>19</v>
      </c>
      <c r="E99" s="6">
        <v>20</v>
      </c>
    </row>
    <row r="100" spans="2:5">
      <c r="B100" s="3">
        <f>_xlfn.RANK.AVG(Table15[[#This Row],[margin]], Table15[margin], 1)</f>
        <v>97.5</v>
      </c>
      <c r="C100" s="3">
        <f>COUNTIF(Table15[margin], Table15[[#This Row],[margin]])</f>
        <v>2</v>
      </c>
      <c r="D100" s="5" t="s">
        <v>15</v>
      </c>
      <c r="E100" s="6">
        <v>20</v>
      </c>
    </row>
    <row r="101" spans="2:5">
      <c r="B101" s="3">
        <f>_xlfn.RANK.AVG(Table15[[#This Row],[margin]], Table15[margin], 1)</f>
        <v>100.5</v>
      </c>
      <c r="C101" s="3">
        <f>COUNTIF(Table15[margin], Table15[[#This Row],[margin]])</f>
        <v>4</v>
      </c>
      <c r="D101" s="5" t="s">
        <v>15</v>
      </c>
      <c r="E101" s="6">
        <v>21</v>
      </c>
    </row>
    <row r="102" spans="2:5">
      <c r="B102" s="3">
        <f>_xlfn.RANK.AVG(Table15[[#This Row],[margin]], Table15[margin], 1)</f>
        <v>100.5</v>
      </c>
      <c r="C102" s="3">
        <f>COUNTIF(Table15[margin], Table15[[#This Row],[margin]])</f>
        <v>4</v>
      </c>
      <c r="D102" s="5" t="s">
        <v>15</v>
      </c>
      <c r="E102" s="6">
        <v>21</v>
      </c>
    </row>
    <row r="103" spans="2:5">
      <c r="B103" s="3">
        <f>_xlfn.RANK.AVG(Table15[[#This Row],[margin]], Table15[margin], 1)</f>
        <v>100.5</v>
      </c>
      <c r="C103" s="3">
        <f>COUNTIF(Table15[margin], Table15[[#This Row],[margin]])</f>
        <v>4</v>
      </c>
      <c r="D103" s="5" t="s">
        <v>15</v>
      </c>
      <c r="E103" s="6">
        <v>21</v>
      </c>
    </row>
    <row r="104" spans="2:5">
      <c r="B104" s="3">
        <f>_xlfn.RANK.AVG(Table15[[#This Row],[margin]], Table15[margin], 1)</f>
        <v>100.5</v>
      </c>
      <c r="C104" s="3">
        <f>COUNTIF(Table15[margin], Table15[[#This Row],[margin]])</f>
        <v>4</v>
      </c>
      <c r="D104" s="5" t="s">
        <v>15</v>
      </c>
      <c r="E104" s="6">
        <v>21</v>
      </c>
    </row>
    <row r="105" spans="2:5">
      <c r="B105" s="3">
        <f>_xlfn.RANK.AVG(Table15[[#This Row],[margin]], Table15[margin], 1)</f>
        <v>104</v>
      </c>
      <c r="C105" s="3">
        <f>COUNTIF(Table15[margin], Table15[[#This Row],[margin]])</f>
        <v>3</v>
      </c>
      <c r="D105" s="5" t="s">
        <v>15</v>
      </c>
      <c r="E105" s="6">
        <v>22</v>
      </c>
    </row>
    <row r="106" spans="2:5">
      <c r="B106" s="3">
        <f>_xlfn.RANK.AVG(Table15[[#This Row],[margin]], Table15[margin], 1)</f>
        <v>104</v>
      </c>
      <c r="C106" s="3">
        <f>COUNTIF(Table15[margin], Table15[[#This Row],[margin]])</f>
        <v>3</v>
      </c>
      <c r="D106" s="5" t="s">
        <v>15</v>
      </c>
      <c r="E106" s="6">
        <v>22</v>
      </c>
    </row>
    <row r="107" spans="2:5">
      <c r="B107" s="3">
        <f>_xlfn.RANK.AVG(Table15[[#This Row],[margin]], Table15[margin], 1)</f>
        <v>104</v>
      </c>
      <c r="C107" s="3">
        <f>COUNTIF(Table15[margin], Table15[[#This Row],[margin]])</f>
        <v>3</v>
      </c>
      <c r="D107" s="5" t="s">
        <v>15</v>
      </c>
      <c r="E107" s="6">
        <v>22</v>
      </c>
    </row>
    <row r="108" spans="2:5">
      <c r="B108" s="3">
        <f>_xlfn.RANK.AVG(Table15[[#This Row],[margin]], Table15[margin], 1)</f>
        <v>106.5</v>
      </c>
      <c r="C108" s="3">
        <f>COUNTIF(Table15[margin], Table15[[#This Row],[margin]])</f>
        <v>2</v>
      </c>
      <c r="D108" s="5" t="s">
        <v>19</v>
      </c>
      <c r="E108" s="6">
        <v>23</v>
      </c>
    </row>
    <row r="109" spans="2:5">
      <c r="B109" s="3">
        <f>_xlfn.RANK.AVG(Table15[[#This Row],[margin]], Table15[margin], 1)</f>
        <v>106.5</v>
      </c>
      <c r="C109" s="3">
        <f>COUNTIF(Table15[margin], Table15[[#This Row],[margin]])</f>
        <v>2</v>
      </c>
      <c r="D109" s="5" t="s">
        <v>19</v>
      </c>
      <c r="E109" s="6">
        <v>23</v>
      </c>
    </row>
    <row r="110" spans="2:5">
      <c r="B110" s="3">
        <f>_xlfn.RANK.AVG(Table15[[#This Row],[margin]], Table15[margin], 1)</f>
        <v>111</v>
      </c>
      <c r="C110" s="3">
        <f>COUNTIF(Table15[margin], Table15[[#This Row],[margin]])</f>
        <v>7</v>
      </c>
      <c r="D110" s="5" t="s">
        <v>19</v>
      </c>
      <c r="E110" s="6">
        <v>24</v>
      </c>
    </row>
    <row r="111" spans="2:5">
      <c r="B111" s="3">
        <f>_xlfn.RANK.AVG(Table15[[#This Row],[margin]], Table15[margin], 1)</f>
        <v>111</v>
      </c>
      <c r="C111" s="3">
        <f>COUNTIF(Table15[margin], Table15[[#This Row],[margin]])</f>
        <v>7</v>
      </c>
      <c r="D111" s="5" t="s">
        <v>15</v>
      </c>
      <c r="E111" s="6">
        <v>24</v>
      </c>
    </row>
    <row r="112" spans="2:5">
      <c r="B112" s="3">
        <f>_xlfn.RANK.AVG(Table15[[#This Row],[margin]], Table15[margin], 1)</f>
        <v>111</v>
      </c>
      <c r="C112" s="3">
        <f>COUNTIF(Table15[margin], Table15[[#This Row],[margin]])</f>
        <v>7</v>
      </c>
      <c r="D112" s="5" t="s">
        <v>15</v>
      </c>
      <c r="E112" s="6">
        <v>24</v>
      </c>
    </row>
    <row r="113" spans="2:5">
      <c r="B113" s="3">
        <f>_xlfn.RANK.AVG(Table15[[#This Row],[margin]], Table15[margin], 1)</f>
        <v>111</v>
      </c>
      <c r="C113" s="3">
        <f>COUNTIF(Table15[margin], Table15[[#This Row],[margin]])</f>
        <v>7</v>
      </c>
      <c r="D113" s="5" t="s">
        <v>15</v>
      </c>
      <c r="E113" s="6">
        <v>24</v>
      </c>
    </row>
    <row r="114" spans="2:5">
      <c r="B114" s="3">
        <f>_xlfn.RANK.AVG(Table15[[#This Row],[margin]], Table15[margin], 1)</f>
        <v>111</v>
      </c>
      <c r="C114" s="3">
        <f>COUNTIF(Table15[margin], Table15[[#This Row],[margin]])</f>
        <v>7</v>
      </c>
      <c r="D114" s="5" t="s">
        <v>15</v>
      </c>
      <c r="E114" s="6">
        <v>24</v>
      </c>
    </row>
    <row r="115" spans="2:5">
      <c r="B115" s="3">
        <f>_xlfn.RANK.AVG(Table15[[#This Row],[margin]], Table15[margin], 1)</f>
        <v>111</v>
      </c>
      <c r="C115" s="3">
        <f>COUNTIF(Table15[margin], Table15[[#This Row],[margin]])</f>
        <v>7</v>
      </c>
      <c r="D115" s="5" t="s">
        <v>15</v>
      </c>
      <c r="E115" s="6">
        <v>24</v>
      </c>
    </row>
    <row r="116" spans="2:5">
      <c r="B116" s="3">
        <f>_xlfn.RANK.AVG(Table15[[#This Row],[margin]], Table15[margin], 1)</f>
        <v>111</v>
      </c>
      <c r="C116" s="3">
        <f>COUNTIF(Table15[margin], Table15[[#This Row],[margin]])</f>
        <v>7</v>
      </c>
      <c r="D116" s="5" t="s">
        <v>15</v>
      </c>
      <c r="E116" s="6">
        <v>24</v>
      </c>
    </row>
    <row r="117" spans="2:5">
      <c r="B117" s="3">
        <f>_xlfn.RANK.AVG(Table15[[#This Row],[margin]], Table15[margin], 1)</f>
        <v>117</v>
      </c>
      <c r="C117" s="3">
        <f>COUNTIF(Table15[margin], Table15[[#This Row],[margin]])</f>
        <v>5</v>
      </c>
      <c r="D117" s="5" t="s">
        <v>19</v>
      </c>
      <c r="E117" s="6">
        <v>25</v>
      </c>
    </row>
    <row r="118" spans="2:5">
      <c r="B118" s="3">
        <f>_xlfn.RANK.AVG(Table15[[#This Row],[margin]], Table15[margin], 1)</f>
        <v>117</v>
      </c>
      <c r="C118" s="3">
        <f>COUNTIF(Table15[margin], Table15[[#This Row],[margin]])</f>
        <v>5</v>
      </c>
      <c r="D118" s="5" t="s">
        <v>15</v>
      </c>
      <c r="E118" s="6">
        <v>25</v>
      </c>
    </row>
    <row r="119" spans="2:5">
      <c r="B119" s="3">
        <f>_xlfn.RANK.AVG(Table15[[#This Row],[margin]], Table15[margin], 1)</f>
        <v>117</v>
      </c>
      <c r="C119" s="3">
        <f>COUNTIF(Table15[margin], Table15[[#This Row],[margin]])</f>
        <v>5</v>
      </c>
      <c r="D119" s="5" t="s">
        <v>15</v>
      </c>
      <c r="E119" s="6">
        <v>25</v>
      </c>
    </row>
    <row r="120" spans="2:5">
      <c r="B120" s="3">
        <f>_xlfn.RANK.AVG(Table15[[#This Row],[margin]], Table15[margin], 1)</f>
        <v>117</v>
      </c>
      <c r="C120" s="3">
        <f>COUNTIF(Table15[margin], Table15[[#This Row],[margin]])</f>
        <v>5</v>
      </c>
      <c r="D120" s="5" t="s">
        <v>15</v>
      </c>
      <c r="E120" s="6">
        <v>25</v>
      </c>
    </row>
    <row r="121" spans="2:5">
      <c r="B121" s="3">
        <f>_xlfn.RANK.AVG(Table15[[#This Row],[margin]], Table15[margin], 1)</f>
        <v>117</v>
      </c>
      <c r="C121" s="3">
        <f>COUNTIF(Table15[margin], Table15[[#This Row],[margin]])</f>
        <v>5</v>
      </c>
      <c r="D121" s="5" t="s">
        <v>15</v>
      </c>
      <c r="E121" s="6">
        <v>25</v>
      </c>
    </row>
    <row r="122" spans="2:5">
      <c r="B122" s="3">
        <f>_xlfn.RANK.AVG(Table15[[#This Row],[margin]], Table15[margin], 1)</f>
        <v>120.5</v>
      </c>
      <c r="C122" s="3">
        <f>COUNTIF(Table15[margin], Table15[[#This Row],[margin]])</f>
        <v>2</v>
      </c>
      <c r="D122" s="5" t="s">
        <v>15</v>
      </c>
      <c r="E122" s="6">
        <v>26</v>
      </c>
    </row>
    <row r="123" spans="2:5">
      <c r="B123" s="3">
        <f>_xlfn.RANK.AVG(Table15[[#This Row],[margin]], Table15[margin], 1)</f>
        <v>120.5</v>
      </c>
      <c r="C123" s="3">
        <f>COUNTIF(Table15[margin], Table15[[#This Row],[margin]])</f>
        <v>2</v>
      </c>
      <c r="D123" s="5" t="s">
        <v>15</v>
      </c>
      <c r="E123" s="6">
        <v>26</v>
      </c>
    </row>
    <row r="124" spans="2:5">
      <c r="B124" s="3">
        <f>_xlfn.RANK.AVG(Table15[[#This Row],[margin]], Table15[margin], 1)</f>
        <v>122</v>
      </c>
      <c r="C124" s="3">
        <f>COUNTIF(Table15[margin], Table15[[#This Row],[margin]])</f>
        <v>1</v>
      </c>
      <c r="D124" s="5" t="s">
        <v>15</v>
      </c>
      <c r="E124" s="6">
        <v>27</v>
      </c>
    </row>
    <row r="125" spans="2:5">
      <c r="B125" s="3">
        <f>_xlfn.RANK.AVG(Table15[[#This Row],[margin]], Table15[margin], 1)</f>
        <v>128.5</v>
      </c>
      <c r="C125" s="3">
        <f>COUNTIF(Table15[margin], Table15[[#This Row],[margin]])</f>
        <v>12</v>
      </c>
      <c r="D125" s="5" t="s">
        <v>19</v>
      </c>
      <c r="E125" s="6">
        <v>28</v>
      </c>
    </row>
    <row r="126" spans="2:5">
      <c r="B126" s="3">
        <f>_xlfn.RANK.AVG(Table15[[#This Row],[margin]], Table15[margin], 1)</f>
        <v>128.5</v>
      </c>
      <c r="C126" s="3">
        <f>COUNTIF(Table15[margin], Table15[[#This Row],[margin]])</f>
        <v>12</v>
      </c>
      <c r="D126" s="5" t="s">
        <v>19</v>
      </c>
      <c r="E126" s="6">
        <v>28</v>
      </c>
    </row>
    <row r="127" spans="2:5">
      <c r="B127" s="3">
        <f>_xlfn.RANK.AVG(Table15[[#This Row],[margin]], Table15[margin], 1)</f>
        <v>128.5</v>
      </c>
      <c r="C127" s="3">
        <f>COUNTIF(Table15[margin], Table15[[#This Row],[margin]])</f>
        <v>12</v>
      </c>
      <c r="D127" s="5" t="s">
        <v>19</v>
      </c>
      <c r="E127" s="6">
        <v>28</v>
      </c>
    </row>
    <row r="128" spans="2:5">
      <c r="B128" s="3">
        <f>_xlfn.RANK.AVG(Table15[[#This Row],[margin]], Table15[margin], 1)</f>
        <v>128.5</v>
      </c>
      <c r="C128" s="3">
        <f>COUNTIF(Table15[margin], Table15[[#This Row],[margin]])</f>
        <v>12</v>
      </c>
      <c r="D128" s="5" t="s">
        <v>19</v>
      </c>
      <c r="E128" s="6">
        <v>28</v>
      </c>
    </row>
    <row r="129" spans="2:5">
      <c r="B129" s="3">
        <f>_xlfn.RANK.AVG(Table15[[#This Row],[margin]], Table15[margin], 1)</f>
        <v>128.5</v>
      </c>
      <c r="C129" s="3">
        <f>COUNTIF(Table15[margin], Table15[[#This Row],[margin]])</f>
        <v>12</v>
      </c>
      <c r="D129" s="5" t="s">
        <v>19</v>
      </c>
      <c r="E129" s="6">
        <v>28</v>
      </c>
    </row>
    <row r="130" spans="2:5">
      <c r="B130" s="3">
        <f>_xlfn.RANK.AVG(Table15[[#This Row],[margin]], Table15[margin], 1)</f>
        <v>128.5</v>
      </c>
      <c r="C130" s="3">
        <f>COUNTIF(Table15[margin], Table15[[#This Row],[margin]])</f>
        <v>12</v>
      </c>
      <c r="D130" s="5" t="s">
        <v>15</v>
      </c>
      <c r="E130" s="6">
        <v>28</v>
      </c>
    </row>
    <row r="131" spans="2:5">
      <c r="B131" s="3">
        <f>_xlfn.RANK.AVG(Table15[[#This Row],[margin]], Table15[margin], 1)</f>
        <v>128.5</v>
      </c>
      <c r="C131" s="3">
        <f>COUNTIF(Table15[margin], Table15[[#This Row],[margin]])</f>
        <v>12</v>
      </c>
      <c r="D131" s="5" t="s">
        <v>15</v>
      </c>
      <c r="E131" s="6">
        <v>28</v>
      </c>
    </row>
    <row r="132" spans="2:5">
      <c r="B132" s="3">
        <f>_xlfn.RANK.AVG(Table15[[#This Row],[margin]], Table15[margin], 1)</f>
        <v>128.5</v>
      </c>
      <c r="C132" s="3">
        <f>COUNTIF(Table15[margin], Table15[[#This Row],[margin]])</f>
        <v>12</v>
      </c>
      <c r="D132" s="5" t="s">
        <v>15</v>
      </c>
      <c r="E132" s="6">
        <v>28</v>
      </c>
    </row>
    <row r="133" spans="2:5">
      <c r="B133" s="3">
        <f>_xlfn.RANK.AVG(Table15[[#This Row],[margin]], Table15[margin], 1)</f>
        <v>128.5</v>
      </c>
      <c r="C133" s="3">
        <f>COUNTIF(Table15[margin], Table15[[#This Row],[margin]])</f>
        <v>12</v>
      </c>
      <c r="D133" s="5" t="s">
        <v>15</v>
      </c>
      <c r="E133" s="6">
        <v>28</v>
      </c>
    </row>
    <row r="134" spans="2:5">
      <c r="B134" s="3">
        <f>_xlfn.RANK.AVG(Table15[[#This Row],[margin]], Table15[margin], 1)</f>
        <v>128.5</v>
      </c>
      <c r="C134" s="3">
        <f>COUNTIF(Table15[margin], Table15[[#This Row],[margin]])</f>
        <v>12</v>
      </c>
      <c r="D134" s="5" t="s">
        <v>15</v>
      </c>
      <c r="E134" s="6">
        <v>28</v>
      </c>
    </row>
    <row r="135" spans="2:5">
      <c r="B135" s="3">
        <f>_xlfn.RANK.AVG(Table15[[#This Row],[margin]], Table15[margin], 1)</f>
        <v>128.5</v>
      </c>
      <c r="C135" s="3">
        <f>COUNTIF(Table15[margin], Table15[[#This Row],[margin]])</f>
        <v>12</v>
      </c>
      <c r="D135" s="5" t="s">
        <v>15</v>
      </c>
      <c r="E135" s="6">
        <v>28</v>
      </c>
    </row>
    <row r="136" spans="2:5">
      <c r="B136" s="3">
        <f>_xlfn.RANK.AVG(Table15[[#This Row],[margin]], Table15[margin], 1)</f>
        <v>128.5</v>
      </c>
      <c r="C136" s="3">
        <f>COUNTIF(Table15[margin], Table15[[#This Row],[margin]])</f>
        <v>12</v>
      </c>
      <c r="D136" s="5" t="s">
        <v>15</v>
      </c>
      <c r="E136" s="6">
        <v>28</v>
      </c>
    </row>
    <row r="137" spans="2:5">
      <c r="B137" s="3">
        <f>_xlfn.RANK.AVG(Table15[[#This Row],[margin]], Table15[margin], 1)</f>
        <v>136.5</v>
      </c>
      <c r="C137" s="3">
        <f>COUNTIF(Table15[margin], Table15[[#This Row],[margin]])</f>
        <v>4</v>
      </c>
      <c r="D137" s="5" t="s">
        <v>19</v>
      </c>
      <c r="E137" s="6">
        <v>29</v>
      </c>
    </row>
    <row r="138" spans="2:5">
      <c r="B138" s="3">
        <f>_xlfn.RANK.AVG(Table15[[#This Row],[margin]], Table15[margin], 1)</f>
        <v>136.5</v>
      </c>
      <c r="C138" s="3">
        <f>COUNTIF(Table15[margin], Table15[[#This Row],[margin]])</f>
        <v>4</v>
      </c>
      <c r="D138" s="5" t="s">
        <v>19</v>
      </c>
      <c r="E138" s="6">
        <v>29</v>
      </c>
    </row>
    <row r="139" spans="2:5">
      <c r="B139" s="3">
        <f>_xlfn.RANK.AVG(Table15[[#This Row],[margin]], Table15[margin], 1)</f>
        <v>136.5</v>
      </c>
      <c r="C139" s="3">
        <f>COUNTIF(Table15[margin], Table15[[#This Row],[margin]])</f>
        <v>4</v>
      </c>
      <c r="D139" s="5" t="s">
        <v>15</v>
      </c>
      <c r="E139" s="6">
        <v>29</v>
      </c>
    </row>
    <row r="140" spans="2:5">
      <c r="B140" s="3">
        <f>_xlfn.RANK.AVG(Table15[[#This Row],[margin]], Table15[margin], 1)</f>
        <v>136.5</v>
      </c>
      <c r="C140" s="3">
        <f>COUNTIF(Table15[margin], Table15[[#This Row],[margin]])</f>
        <v>4</v>
      </c>
      <c r="D140" s="5" t="s">
        <v>15</v>
      </c>
      <c r="E140" s="6">
        <v>29</v>
      </c>
    </row>
    <row r="141" spans="2:5">
      <c r="B141" s="3">
        <f>_xlfn.RANK.AVG(Table15[[#This Row],[margin]], Table15[margin], 1)</f>
        <v>142.5</v>
      </c>
      <c r="C141" s="3">
        <f>COUNTIF(Table15[margin], Table15[[#This Row],[margin]])</f>
        <v>8</v>
      </c>
      <c r="D141" s="5" t="s">
        <v>19</v>
      </c>
      <c r="E141" s="6">
        <v>31</v>
      </c>
    </row>
    <row r="142" spans="2:5">
      <c r="B142" s="3">
        <f>_xlfn.RANK.AVG(Table15[[#This Row],[margin]], Table15[margin], 1)</f>
        <v>142.5</v>
      </c>
      <c r="C142" s="3">
        <f>COUNTIF(Table15[margin], Table15[[#This Row],[margin]])</f>
        <v>8</v>
      </c>
      <c r="D142" s="5" t="s">
        <v>19</v>
      </c>
      <c r="E142" s="6">
        <v>31</v>
      </c>
    </row>
    <row r="143" spans="2:5">
      <c r="B143" s="3">
        <f>_xlfn.RANK.AVG(Table15[[#This Row],[margin]], Table15[margin], 1)</f>
        <v>142.5</v>
      </c>
      <c r="C143" s="3">
        <f>COUNTIF(Table15[margin], Table15[[#This Row],[margin]])</f>
        <v>8</v>
      </c>
      <c r="D143" s="5" t="s">
        <v>19</v>
      </c>
      <c r="E143" s="6">
        <v>31</v>
      </c>
    </row>
    <row r="144" spans="2:5">
      <c r="B144" s="3">
        <f>_xlfn.RANK.AVG(Table15[[#This Row],[margin]], Table15[margin], 1)</f>
        <v>142.5</v>
      </c>
      <c r="C144" s="3">
        <f>COUNTIF(Table15[margin], Table15[[#This Row],[margin]])</f>
        <v>8</v>
      </c>
      <c r="D144" s="5" t="s">
        <v>19</v>
      </c>
      <c r="E144" s="6">
        <v>31</v>
      </c>
    </row>
    <row r="145" spans="2:5">
      <c r="B145" s="3">
        <f>_xlfn.RANK.AVG(Table15[[#This Row],[margin]], Table15[margin], 1)</f>
        <v>142.5</v>
      </c>
      <c r="C145" s="3">
        <f>COUNTIF(Table15[margin], Table15[[#This Row],[margin]])</f>
        <v>8</v>
      </c>
      <c r="D145" s="5" t="s">
        <v>15</v>
      </c>
      <c r="E145" s="6">
        <v>31</v>
      </c>
    </row>
    <row r="146" spans="2:5">
      <c r="B146" s="3">
        <f>_xlfn.RANK.AVG(Table15[[#This Row],[margin]], Table15[margin], 1)</f>
        <v>142.5</v>
      </c>
      <c r="C146" s="3">
        <f>COUNTIF(Table15[margin], Table15[[#This Row],[margin]])</f>
        <v>8</v>
      </c>
      <c r="D146" s="5" t="s">
        <v>15</v>
      </c>
      <c r="E146" s="6">
        <v>31</v>
      </c>
    </row>
    <row r="147" spans="2:5">
      <c r="B147" s="3">
        <f>_xlfn.RANK.AVG(Table15[[#This Row],[margin]], Table15[margin], 1)</f>
        <v>142.5</v>
      </c>
      <c r="C147" s="3">
        <f>COUNTIF(Table15[margin], Table15[[#This Row],[margin]])</f>
        <v>8</v>
      </c>
      <c r="D147" s="5" t="s">
        <v>15</v>
      </c>
      <c r="E147" s="6">
        <v>31</v>
      </c>
    </row>
    <row r="148" spans="2:5">
      <c r="B148" s="3">
        <f>_xlfn.RANK.AVG(Table15[[#This Row],[margin]], Table15[margin], 1)</f>
        <v>142.5</v>
      </c>
      <c r="C148" s="3">
        <f>COUNTIF(Table15[margin], Table15[[#This Row],[margin]])</f>
        <v>8</v>
      </c>
      <c r="D148" s="5" t="s">
        <v>15</v>
      </c>
      <c r="E148" s="6">
        <v>31</v>
      </c>
    </row>
    <row r="149" spans="2:5">
      <c r="B149" s="3">
        <f>_xlfn.RANK.AVG(Table15[[#This Row],[margin]], Table15[margin], 1)</f>
        <v>148</v>
      </c>
      <c r="C149" s="3">
        <f>COUNTIF(Table15[margin], Table15[[#This Row],[margin]])</f>
        <v>3</v>
      </c>
      <c r="D149" s="5" t="s">
        <v>19</v>
      </c>
      <c r="E149" s="6">
        <v>32</v>
      </c>
    </row>
    <row r="150" spans="2:5">
      <c r="B150" s="3">
        <f>_xlfn.RANK.AVG(Table15[[#This Row],[margin]], Table15[margin], 1)</f>
        <v>148</v>
      </c>
      <c r="C150" s="3">
        <f>COUNTIF(Table15[margin], Table15[[#This Row],[margin]])</f>
        <v>3</v>
      </c>
      <c r="D150" s="5" t="s">
        <v>19</v>
      </c>
      <c r="E150" s="6">
        <v>32</v>
      </c>
    </row>
    <row r="151" spans="2:5">
      <c r="B151" s="3">
        <f>_xlfn.RANK.AVG(Table15[[#This Row],[margin]], Table15[margin], 1)</f>
        <v>148</v>
      </c>
      <c r="C151" s="3">
        <f>COUNTIF(Table15[margin], Table15[[#This Row],[margin]])</f>
        <v>3</v>
      </c>
      <c r="D151" s="5" t="s">
        <v>15</v>
      </c>
      <c r="E151" s="6">
        <v>32</v>
      </c>
    </row>
    <row r="152" spans="2:5">
      <c r="B152" s="3">
        <f>_xlfn.RANK.AVG(Table15[[#This Row],[margin]], Table15[margin], 1)</f>
        <v>150.5</v>
      </c>
      <c r="C152" s="3">
        <f>COUNTIF(Table15[margin], Table15[[#This Row],[margin]])</f>
        <v>2</v>
      </c>
      <c r="D152" s="5" t="s">
        <v>15</v>
      </c>
      <c r="E152" s="6">
        <v>33</v>
      </c>
    </row>
    <row r="153" spans="2:5">
      <c r="B153" s="3">
        <f>_xlfn.RANK.AVG(Table15[[#This Row],[margin]], Table15[margin], 1)</f>
        <v>150.5</v>
      </c>
      <c r="C153" s="3">
        <f>COUNTIF(Table15[margin], Table15[[#This Row],[margin]])</f>
        <v>2</v>
      </c>
      <c r="D153" s="5" t="s">
        <v>15</v>
      </c>
      <c r="E153" s="6">
        <v>33</v>
      </c>
    </row>
    <row r="154" spans="2:5">
      <c r="B154" s="3">
        <f>_xlfn.RANK.AVG(Table15[[#This Row],[margin]], Table15[margin], 1)</f>
        <v>155.5</v>
      </c>
      <c r="C154" s="3">
        <f>COUNTIF(Table15[margin], Table15[[#This Row],[margin]])</f>
        <v>8</v>
      </c>
      <c r="D154" s="5" t="s">
        <v>19</v>
      </c>
      <c r="E154" s="6">
        <v>34</v>
      </c>
    </row>
    <row r="155" spans="2:5">
      <c r="B155" s="3">
        <f>_xlfn.RANK.AVG(Table15[[#This Row],[margin]], Table15[margin], 1)</f>
        <v>155.5</v>
      </c>
      <c r="C155" s="3">
        <f>COUNTIF(Table15[margin], Table15[[#This Row],[margin]])</f>
        <v>8</v>
      </c>
      <c r="D155" s="5" t="s">
        <v>15</v>
      </c>
      <c r="E155" s="6">
        <v>34</v>
      </c>
    </row>
    <row r="156" spans="2:5">
      <c r="B156" s="3">
        <f>_xlfn.RANK.AVG(Table15[[#This Row],[margin]], Table15[margin], 1)</f>
        <v>155.5</v>
      </c>
      <c r="C156" s="3">
        <f>COUNTIF(Table15[margin], Table15[[#This Row],[margin]])</f>
        <v>8</v>
      </c>
      <c r="D156" s="5" t="s">
        <v>15</v>
      </c>
      <c r="E156" s="6">
        <v>34</v>
      </c>
    </row>
    <row r="157" spans="2:5">
      <c r="B157" s="3">
        <f>_xlfn.RANK.AVG(Table15[[#This Row],[margin]], Table15[margin], 1)</f>
        <v>155.5</v>
      </c>
      <c r="C157" s="3">
        <f>COUNTIF(Table15[margin], Table15[[#This Row],[margin]])</f>
        <v>8</v>
      </c>
      <c r="D157" s="5" t="s">
        <v>15</v>
      </c>
      <c r="E157" s="6">
        <v>34</v>
      </c>
    </row>
    <row r="158" spans="2:5">
      <c r="B158" s="3">
        <f>_xlfn.RANK.AVG(Table15[[#This Row],[margin]], Table15[margin], 1)</f>
        <v>155.5</v>
      </c>
      <c r="C158" s="3">
        <f>COUNTIF(Table15[margin], Table15[[#This Row],[margin]])</f>
        <v>8</v>
      </c>
      <c r="D158" s="5" t="s">
        <v>15</v>
      </c>
      <c r="E158" s="6">
        <v>34</v>
      </c>
    </row>
    <row r="159" spans="2:5">
      <c r="B159" s="3">
        <f>_xlfn.RANK.AVG(Table15[[#This Row],[margin]], Table15[margin], 1)</f>
        <v>155.5</v>
      </c>
      <c r="C159" s="3">
        <f>COUNTIF(Table15[margin], Table15[[#This Row],[margin]])</f>
        <v>8</v>
      </c>
      <c r="D159" s="5" t="s">
        <v>15</v>
      </c>
      <c r="E159" s="6">
        <v>34</v>
      </c>
    </row>
    <row r="160" spans="2:5">
      <c r="B160" s="3">
        <f>_xlfn.RANK.AVG(Table15[[#This Row],[margin]], Table15[margin], 1)</f>
        <v>155.5</v>
      </c>
      <c r="C160" s="3">
        <f>COUNTIF(Table15[margin], Table15[[#This Row],[margin]])</f>
        <v>8</v>
      </c>
      <c r="D160" s="5" t="s">
        <v>15</v>
      </c>
      <c r="E160" s="6">
        <v>34</v>
      </c>
    </row>
    <row r="161" spans="2:5">
      <c r="B161" s="3">
        <f>_xlfn.RANK.AVG(Table15[[#This Row],[margin]], Table15[margin], 1)</f>
        <v>155.5</v>
      </c>
      <c r="C161" s="3">
        <f>COUNTIF(Table15[margin], Table15[[#This Row],[margin]])</f>
        <v>8</v>
      </c>
      <c r="D161" s="5" t="s">
        <v>15</v>
      </c>
      <c r="E161" s="6">
        <v>34</v>
      </c>
    </row>
    <row r="162" spans="2:5">
      <c r="B162" s="3">
        <f>_xlfn.RANK.AVG(Table15[[#This Row],[margin]], Table15[margin], 1)</f>
        <v>161.5</v>
      </c>
      <c r="C162" s="3">
        <f>COUNTIF(Table15[margin], Table15[[#This Row],[margin]])</f>
        <v>4</v>
      </c>
      <c r="D162" s="5" t="s">
        <v>19</v>
      </c>
      <c r="E162" s="6">
        <v>35</v>
      </c>
    </row>
    <row r="163" spans="2:5">
      <c r="B163" s="3">
        <f>_xlfn.RANK.AVG(Table15[[#This Row],[margin]], Table15[margin], 1)</f>
        <v>161.5</v>
      </c>
      <c r="C163" s="3">
        <f>COUNTIF(Table15[margin], Table15[[#This Row],[margin]])</f>
        <v>4</v>
      </c>
      <c r="D163" s="5" t="s">
        <v>15</v>
      </c>
      <c r="E163" s="6">
        <v>35</v>
      </c>
    </row>
    <row r="164" spans="2:5">
      <c r="B164" s="3">
        <f>_xlfn.RANK.AVG(Table15[[#This Row],[margin]], Table15[margin], 1)</f>
        <v>161.5</v>
      </c>
      <c r="C164" s="3">
        <f>COUNTIF(Table15[margin], Table15[[#This Row],[margin]])</f>
        <v>4</v>
      </c>
      <c r="D164" s="5" t="s">
        <v>15</v>
      </c>
      <c r="E164" s="6">
        <v>35</v>
      </c>
    </row>
    <row r="165" spans="2:5">
      <c r="B165" s="3">
        <f>_xlfn.RANK.AVG(Table15[[#This Row],[margin]], Table15[margin], 1)</f>
        <v>161.5</v>
      </c>
      <c r="C165" s="3">
        <f>COUNTIF(Table15[margin], Table15[[#This Row],[margin]])</f>
        <v>4</v>
      </c>
      <c r="D165" s="5" t="s">
        <v>15</v>
      </c>
      <c r="E165" s="6">
        <v>35</v>
      </c>
    </row>
    <row r="166" spans="2:5">
      <c r="B166" s="3">
        <f>_xlfn.RANK.AVG(Table15[[#This Row],[margin]], Table15[margin], 1)</f>
        <v>164</v>
      </c>
      <c r="C166" s="3">
        <f>COUNTIF(Table15[margin], Table15[[#This Row],[margin]])</f>
        <v>1</v>
      </c>
      <c r="D166" s="5" t="s">
        <v>15</v>
      </c>
      <c r="E166" s="6">
        <v>36</v>
      </c>
    </row>
    <row r="167" spans="2:5">
      <c r="B167" s="3">
        <f>_xlfn.RANK.AVG(Table15[[#This Row],[margin]], Table15[margin], 1)</f>
        <v>165</v>
      </c>
      <c r="C167" s="3">
        <f>COUNTIF(Table15[margin], Table15[[#This Row],[margin]])</f>
        <v>1</v>
      </c>
      <c r="D167" s="5" t="s">
        <v>19</v>
      </c>
      <c r="E167" s="6">
        <v>37</v>
      </c>
    </row>
    <row r="168" spans="2:5">
      <c r="B168" s="3">
        <f>_xlfn.RANK.AVG(Table15[[#This Row],[margin]], Table15[margin], 1)</f>
        <v>166.5</v>
      </c>
      <c r="C168" s="3">
        <f>COUNTIF(Table15[margin], Table15[[#This Row],[margin]])</f>
        <v>2</v>
      </c>
      <c r="D168" s="5" t="s">
        <v>19</v>
      </c>
      <c r="E168" s="6">
        <v>38</v>
      </c>
    </row>
    <row r="169" spans="2:5">
      <c r="B169" s="3">
        <f>_xlfn.RANK.AVG(Table15[[#This Row],[margin]], Table15[margin], 1)</f>
        <v>166.5</v>
      </c>
      <c r="C169" s="3">
        <f>COUNTIF(Table15[margin], Table15[[#This Row],[margin]])</f>
        <v>2</v>
      </c>
      <c r="D169" s="5" t="s">
        <v>15</v>
      </c>
      <c r="E169" s="6">
        <v>38</v>
      </c>
    </row>
    <row r="170" spans="2:5">
      <c r="B170" s="3">
        <f>_xlfn.RANK.AVG(Table15[[#This Row],[margin]], Table15[margin], 1)</f>
        <v>168</v>
      </c>
      <c r="C170" s="3">
        <f>COUNTIF(Table15[margin], Table15[[#This Row],[margin]])</f>
        <v>1</v>
      </c>
      <c r="D170" s="5" t="s">
        <v>19</v>
      </c>
      <c r="E170" s="6">
        <v>39</v>
      </c>
    </row>
    <row r="171" spans="2:5">
      <c r="B171" s="3">
        <f>_xlfn.RANK.AVG(Table15[[#This Row],[margin]], Table15[margin], 1)</f>
        <v>169.5</v>
      </c>
      <c r="C171" s="3">
        <f>COUNTIF(Table15[margin], Table15[[#This Row],[margin]])</f>
        <v>2</v>
      </c>
      <c r="D171" s="5" t="s">
        <v>19</v>
      </c>
      <c r="E171" s="6">
        <v>40</v>
      </c>
    </row>
    <row r="172" spans="2:5">
      <c r="B172" s="3">
        <f>_xlfn.RANK.AVG(Table15[[#This Row],[margin]], Table15[margin], 1)</f>
        <v>169.5</v>
      </c>
      <c r="C172" s="3">
        <f>COUNTIF(Table15[margin], Table15[[#This Row],[margin]])</f>
        <v>2</v>
      </c>
      <c r="D172" s="5" t="s">
        <v>15</v>
      </c>
      <c r="E172" s="6">
        <v>40</v>
      </c>
    </row>
    <row r="173" spans="2:5">
      <c r="B173" s="3">
        <f>_xlfn.RANK.AVG(Table15[[#This Row],[margin]], Table15[margin], 1)</f>
        <v>173.5</v>
      </c>
      <c r="C173" s="3">
        <f>COUNTIF(Table15[margin], Table15[[#This Row],[margin]])</f>
        <v>6</v>
      </c>
      <c r="D173" s="5" t="s">
        <v>19</v>
      </c>
      <c r="E173" s="6">
        <v>41</v>
      </c>
    </row>
    <row r="174" spans="2:5">
      <c r="B174" s="3">
        <f>_xlfn.RANK.AVG(Table15[[#This Row],[margin]], Table15[margin], 1)</f>
        <v>173.5</v>
      </c>
      <c r="C174" s="3">
        <f>COUNTIF(Table15[margin], Table15[[#This Row],[margin]])</f>
        <v>6</v>
      </c>
      <c r="D174" s="5" t="s">
        <v>15</v>
      </c>
      <c r="E174" s="6">
        <v>41</v>
      </c>
    </row>
    <row r="175" spans="2:5">
      <c r="B175" s="3">
        <f>_xlfn.RANK.AVG(Table15[[#This Row],[margin]], Table15[margin], 1)</f>
        <v>173.5</v>
      </c>
      <c r="C175" s="3">
        <f>COUNTIF(Table15[margin], Table15[[#This Row],[margin]])</f>
        <v>6</v>
      </c>
      <c r="D175" s="5" t="s">
        <v>15</v>
      </c>
      <c r="E175" s="6">
        <v>41</v>
      </c>
    </row>
    <row r="176" spans="2:5">
      <c r="B176" s="3">
        <f>_xlfn.RANK.AVG(Table15[[#This Row],[margin]], Table15[margin], 1)</f>
        <v>173.5</v>
      </c>
      <c r="C176" s="3">
        <f>COUNTIF(Table15[margin], Table15[[#This Row],[margin]])</f>
        <v>6</v>
      </c>
      <c r="D176" s="5" t="s">
        <v>15</v>
      </c>
      <c r="E176" s="6">
        <v>41</v>
      </c>
    </row>
    <row r="177" spans="2:5">
      <c r="B177" s="3">
        <f>_xlfn.RANK.AVG(Table15[[#This Row],[margin]], Table15[margin], 1)</f>
        <v>173.5</v>
      </c>
      <c r="C177" s="3">
        <f>COUNTIF(Table15[margin], Table15[[#This Row],[margin]])</f>
        <v>6</v>
      </c>
      <c r="D177" s="5" t="s">
        <v>15</v>
      </c>
      <c r="E177" s="6">
        <v>41</v>
      </c>
    </row>
    <row r="178" spans="2:5">
      <c r="B178" s="3">
        <f>_xlfn.RANK.AVG(Table15[[#This Row],[margin]], Table15[margin], 1)</f>
        <v>173.5</v>
      </c>
      <c r="C178" s="3">
        <f>COUNTIF(Table15[margin], Table15[[#This Row],[margin]])</f>
        <v>6</v>
      </c>
      <c r="D178" s="5" t="s">
        <v>15</v>
      </c>
      <c r="E178" s="6">
        <v>41</v>
      </c>
    </row>
    <row r="179" spans="2:5">
      <c r="B179" s="3">
        <f>_xlfn.RANK.AVG(Table15[[#This Row],[margin]], Table15[margin], 1)</f>
        <v>178</v>
      </c>
      <c r="C179" s="3">
        <f>COUNTIF(Table15[margin], Table15[[#This Row],[margin]])</f>
        <v>3</v>
      </c>
      <c r="D179" s="5" t="s">
        <v>15</v>
      </c>
      <c r="E179" s="6">
        <v>42</v>
      </c>
    </row>
    <row r="180" spans="2:5">
      <c r="B180" s="3">
        <f>_xlfn.RANK.AVG(Table15[[#This Row],[margin]], Table15[margin], 1)</f>
        <v>178</v>
      </c>
      <c r="C180" s="3">
        <f>COUNTIF(Table15[margin], Table15[[#This Row],[margin]])</f>
        <v>3</v>
      </c>
      <c r="D180" s="5" t="s">
        <v>15</v>
      </c>
      <c r="E180" s="6">
        <v>42</v>
      </c>
    </row>
    <row r="181" spans="2:5">
      <c r="B181" s="3">
        <f>_xlfn.RANK.AVG(Table15[[#This Row],[margin]], Table15[margin], 1)</f>
        <v>178</v>
      </c>
      <c r="C181" s="3">
        <f>COUNTIF(Table15[margin], Table15[[#This Row],[margin]])</f>
        <v>3</v>
      </c>
      <c r="D181" s="5" t="s">
        <v>15</v>
      </c>
      <c r="E181" s="6">
        <v>42</v>
      </c>
    </row>
    <row r="182" spans="2:5">
      <c r="B182" s="3">
        <f>_xlfn.RANK.AVG(Table15[[#This Row],[margin]], Table15[margin], 1)</f>
        <v>181.5</v>
      </c>
      <c r="C182" s="3">
        <f>COUNTIF(Table15[margin], Table15[[#This Row],[margin]])</f>
        <v>4</v>
      </c>
      <c r="D182" s="5" t="s">
        <v>19</v>
      </c>
      <c r="E182" s="6">
        <v>45</v>
      </c>
    </row>
    <row r="183" spans="2:5">
      <c r="B183" s="3">
        <f>_xlfn.RANK.AVG(Table15[[#This Row],[margin]], Table15[margin], 1)</f>
        <v>181.5</v>
      </c>
      <c r="C183" s="3">
        <f>COUNTIF(Table15[margin], Table15[[#This Row],[margin]])</f>
        <v>4</v>
      </c>
      <c r="D183" s="5" t="s">
        <v>15</v>
      </c>
      <c r="E183" s="6">
        <v>45</v>
      </c>
    </row>
    <row r="184" spans="2:5">
      <c r="B184" s="3">
        <f>_xlfn.RANK.AVG(Table15[[#This Row],[margin]], Table15[margin], 1)</f>
        <v>181.5</v>
      </c>
      <c r="C184" s="3">
        <f>COUNTIF(Table15[margin], Table15[[#This Row],[margin]])</f>
        <v>4</v>
      </c>
      <c r="D184" s="5" t="s">
        <v>15</v>
      </c>
      <c r="E184" s="6">
        <v>45</v>
      </c>
    </row>
    <row r="185" spans="2:5">
      <c r="B185" s="3">
        <f>_xlfn.RANK.AVG(Table15[[#This Row],[margin]], Table15[margin], 1)</f>
        <v>181.5</v>
      </c>
      <c r="C185" s="3">
        <f>COUNTIF(Table15[margin], Table15[[#This Row],[margin]])</f>
        <v>4</v>
      </c>
      <c r="D185" s="5" t="s">
        <v>15</v>
      </c>
      <c r="E185" s="6">
        <v>45</v>
      </c>
    </row>
    <row r="186" spans="2:5">
      <c r="B186" s="3">
        <f>_xlfn.RANK.AVG(Table15[[#This Row],[margin]], Table15[margin], 1)</f>
        <v>184.5</v>
      </c>
      <c r="C186" s="3">
        <f>COUNTIF(Table15[margin], Table15[[#This Row],[margin]])</f>
        <v>2</v>
      </c>
      <c r="D186" s="5" t="s">
        <v>15</v>
      </c>
      <c r="E186" s="6">
        <v>46</v>
      </c>
    </row>
    <row r="187" spans="2:5">
      <c r="B187" s="3">
        <f>_xlfn.RANK.AVG(Table15[[#This Row],[margin]], Table15[margin], 1)</f>
        <v>184.5</v>
      </c>
      <c r="C187" s="3">
        <f>COUNTIF(Table15[margin], Table15[[#This Row],[margin]])</f>
        <v>2</v>
      </c>
      <c r="D187" s="5" t="s">
        <v>15</v>
      </c>
      <c r="E187" s="6">
        <v>46</v>
      </c>
    </row>
    <row r="188" spans="2:5">
      <c r="B188" s="3">
        <f>_xlfn.RANK.AVG(Table15[[#This Row],[margin]], Table15[margin], 1)</f>
        <v>186.5</v>
      </c>
      <c r="C188" s="3">
        <f>COUNTIF(Table15[margin], Table15[[#This Row],[margin]])</f>
        <v>2</v>
      </c>
      <c r="D188" s="5" t="s">
        <v>15</v>
      </c>
      <c r="E188" s="6">
        <v>48</v>
      </c>
    </row>
    <row r="189" spans="2:5">
      <c r="B189" s="3">
        <f>_xlfn.RANK.AVG(Table15[[#This Row],[margin]], Table15[margin], 1)</f>
        <v>186.5</v>
      </c>
      <c r="C189" s="3">
        <f>COUNTIF(Table15[margin], Table15[[#This Row],[margin]])</f>
        <v>2</v>
      </c>
      <c r="D189" s="5" t="s">
        <v>15</v>
      </c>
      <c r="E189" s="6">
        <v>48</v>
      </c>
    </row>
    <row r="190" spans="2:5">
      <c r="B190" s="3">
        <f>_xlfn.RANK.AVG(Table15[[#This Row],[margin]], Table15[margin], 1)</f>
        <v>191</v>
      </c>
      <c r="C190" s="3">
        <f>COUNTIF(Table15[margin], Table15[[#This Row],[margin]])</f>
        <v>7</v>
      </c>
      <c r="D190" s="5" t="s">
        <v>19</v>
      </c>
      <c r="E190" s="6">
        <v>49</v>
      </c>
    </row>
    <row r="191" spans="2:5">
      <c r="B191" s="3">
        <f>_xlfn.RANK.AVG(Table15[[#This Row],[margin]], Table15[margin], 1)</f>
        <v>191</v>
      </c>
      <c r="C191" s="3">
        <f>COUNTIF(Table15[margin], Table15[[#This Row],[margin]])</f>
        <v>7</v>
      </c>
      <c r="D191" s="5" t="s">
        <v>19</v>
      </c>
      <c r="E191" s="6">
        <v>49</v>
      </c>
    </row>
    <row r="192" spans="2:5">
      <c r="B192" s="3">
        <f>_xlfn.RANK.AVG(Table15[[#This Row],[margin]], Table15[margin], 1)</f>
        <v>191</v>
      </c>
      <c r="C192" s="3">
        <f>COUNTIF(Table15[margin], Table15[[#This Row],[margin]])</f>
        <v>7</v>
      </c>
      <c r="D192" s="5" t="s">
        <v>15</v>
      </c>
      <c r="E192" s="6">
        <v>49</v>
      </c>
    </row>
    <row r="193" spans="2:5">
      <c r="B193" s="3">
        <f>_xlfn.RANK.AVG(Table15[[#This Row],[margin]], Table15[margin], 1)</f>
        <v>191</v>
      </c>
      <c r="C193" s="3">
        <f>COUNTIF(Table15[margin], Table15[[#This Row],[margin]])</f>
        <v>7</v>
      </c>
      <c r="D193" s="5" t="s">
        <v>15</v>
      </c>
      <c r="E193" s="6">
        <v>49</v>
      </c>
    </row>
    <row r="194" spans="2:5">
      <c r="B194" s="3">
        <f>_xlfn.RANK.AVG(Table15[[#This Row],[margin]], Table15[margin], 1)</f>
        <v>191</v>
      </c>
      <c r="C194" s="3">
        <f>COUNTIF(Table15[margin], Table15[[#This Row],[margin]])</f>
        <v>7</v>
      </c>
      <c r="D194" s="5" t="s">
        <v>15</v>
      </c>
      <c r="E194" s="6">
        <v>49</v>
      </c>
    </row>
    <row r="195" spans="2:5">
      <c r="B195" s="3">
        <f>_xlfn.RANK.AVG(Table15[[#This Row],[margin]], Table15[margin], 1)</f>
        <v>191</v>
      </c>
      <c r="C195" s="3">
        <f>COUNTIF(Table15[margin], Table15[[#This Row],[margin]])</f>
        <v>7</v>
      </c>
      <c r="D195" s="5" t="s">
        <v>15</v>
      </c>
      <c r="E195" s="6">
        <v>49</v>
      </c>
    </row>
    <row r="196" spans="2:5">
      <c r="B196" s="3">
        <f>_xlfn.RANK.AVG(Table15[[#This Row],[margin]], Table15[margin], 1)</f>
        <v>191</v>
      </c>
      <c r="C196" s="3">
        <f>COUNTIF(Table15[margin], Table15[[#This Row],[margin]])</f>
        <v>7</v>
      </c>
      <c r="D196" s="5" t="s">
        <v>15</v>
      </c>
      <c r="E196" s="6">
        <v>49</v>
      </c>
    </row>
    <row r="197" spans="2:5">
      <c r="B197" s="3">
        <f>_xlfn.RANK.AVG(Table15[[#This Row],[margin]], Table15[margin], 1)</f>
        <v>195.5</v>
      </c>
      <c r="C197" s="3">
        <f>COUNTIF(Table15[margin], Table15[[#This Row],[margin]])</f>
        <v>2</v>
      </c>
      <c r="D197" s="5" t="s">
        <v>15</v>
      </c>
      <c r="E197" s="6">
        <v>50</v>
      </c>
    </row>
    <row r="198" spans="2:5">
      <c r="B198" s="3">
        <f>_xlfn.RANK.AVG(Table15[[#This Row],[margin]], Table15[margin], 1)</f>
        <v>195.5</v>
      </c>
      <c r="C198" s="3">
        <f>COUNTIF(Table15[margin], Table15[[#This Row],[margin]])</f>
        <v>2</v>
      </c>
      <c r="D198" s="5" t="s">
        <v>15</v>
      </c>
      <c r="E198" s="6">
        <v>50</v>
      </c>
    </row>
    <row r="199" spans="2:5">
      <c r="B199" s="3">
        <f>_xlfn.RANK.AVG(Table15[[#This Row],[margin]], Table15[margin], 1)</f>
        <v>198.5</v>
      </c>
      <c r="C199" s="3">
        <f>COUNTIF(Table15[margin], Table15[[#This Row],[margin]])</f>
        <v>4</v>
      </c>
      <c r="D199" s="5" t="s">
        <v>19</v>
      </c>
      <c r="E199" s="6">
        <v>52</v>
      </c>
    </row>
    <row r="200" spans="2:5">
      <c r="B200" s="3">
        <f>_xlfn.RANK.AVG(Table15[[#This Row],[margin]], Table15[margin], 1)</f>
        <v>198.5</v>
      </c>
      <c r="C200" s="3">
        <f>COUNTIF(Table15[margin], Table15[[#This Row],[margin]])</f>
        <v>4</v>
      </c>
      <c r="D200" s="5" t="s">
        <v>15</v>
      </c>
      <c r="E200" s="6">
        <v>52</v>
      </c>
    </row>
    <row r="201" spans="2:5">
      <c r="B201" s="3">
        <f>_xlfn.RANK.AVG(Table15[[#This Row],[margin]], Table15[margin], 1)</f>
        <v>198.5</v>
      </c>
      <c r="C201" s="3">
        <f>COUNTIF(Table15[margin], Table15[[#This Row],[margin]])</f>
        <v>4</v>
      </c>
      <c r="D201" s="5" t="s">
        <v>15</v>
      </c>
      <c r="E201" s="6">
        <v>52</v>
      </c>
    </row>
    <row r="202" spans="2:5">
      <c r="B202" s="3">
        <f>_xlfn.RANK.AVG(Table15[[#This Row],[margin]], Table15[margin], 1)</f>
        <v>198.5</v>
      </c>
      <c r="C202" s="3">
        <f>COUNTIF(Table15[margin], Table15[[#This Row],[margin]])</f>
        <v>4</v>
      </c>
      <c r="D202" s="5" t="s">
        <v>15</v>
      </c>
      <c r="E202" s="6">
        <v>52</v>
      </c>
    </row>
    <row r="203" spans="2:5">
      <c r="B203" s="3">
        <f>_xlfn.RANK.AVG(Table15[[#This Row],[margin]], Table15[margin], 1)</f>
        <v>201.5</v>
      </c>
      <c r="C203" s="3">
        <f>COUNTIF(Table15[margin], Table15[[#This Row],[margin]])</f>
        <v>2</v>
      </c>
      <c r="D203" s="5" t="s">
        <v>19</v>
      </c>
      <c r="E203" s="6">
        <v>55</v>
      </c>
    </row>
    <row r="204" spans="2:5">
      <c r="B204" s="3">
        <f>_xlfn.RANK.AVG(Table15[[#This Row],[margin]], Table15[margin], 1)</f>
        <v>201.5</v>
      </c>
      <c r="C204" s="3">
        <f>COUNTIF(Table15[margin], Table15[[#This Row],[margin]])</f>
        <v>2</v>
      </c>
      <c r="D204" s="5" t="s">
        <v>15</v>
      </c>
      <c r="E204" s="6">
        <v>55</v>
      </c>
    </row>
    <row r="205" spans="2:5">
      <c r="B205" s="3">
        <f>_xlfn.RANK.AVG(Table15[[#This Row],[margin]], Table15[margin], 1)</f>
        <v>205.5</v>
      </c>
      <c r="C205" s="3">
        <f>COUNTIF(Table15[margin], Table15[[#This Row],[margin]])</f>
        <v>6</v>
      </c>
      <c r="D205" s="5" t="s">
        <v>15</v>
      </c>
      <c r="E205" s="6">
        <v>56</v>
      </c>
    </row>
    <row r="206" spans="2:5">
      <c r="B206" s="3">
        <f>_xlfn.RANK.AVG(Table15[[#This Row],[margin]], Table15[margin], 1)</f>
        <v>205.5</v>
      </c>
      <c r="C206" s="3">
        <f>COUNTIF(Table15[margin], Table15[[#This Row],[margin]])</f>
        <v>6</v>
      </c>
      <c r="D206" s="5" t="s">
        <v>15</v>
      </c>
      <c r="E206" s="6">
        <v>56</v>
      </c>
    </row>
    <row r="207" spans="2:5">
      <c r="B207" s="3">
        <f>_xlfn.RANK.AVG(Table15[[#This Row],[margin]], Table15[margin], 1)</f>
        <v>205.5</v>
      </c>
      <c r="C207" s="3">
        <f>COUNTIF(Table15[margin], Table15[[#This Row],[margin]])</f>
        <v>6</v>
      </c>
      <c r="D207" s="5" t="s">
        <v>15</v>
      </c>
      <c r="E207" s="6">
        <v>56</v>
      </c>
    </row>
    <row r="208" spans="2:5">
      <c r="B208" s="3">
        <f>_xlfn.RANK.AVG(Table15[[#This Row],[margin]], Table15[margin], 1)</f>
        <v>205.5</v>
      </c>
      <c r="C208" s="3">
        <f>COUNTIF(Table15[margin], Table15[[#This Row],[margin]])</f>
        <v>6</v>
      </c>
      <c r="D208" s="5" t="s">
        <v>15</v>
      </c>
      <c r="E208" s="6">
        <v>56</v>
      </c>
    </row>
    <row r="209" spans="2:5">
      <c r="B209" s="3">
        <f>_xlfn.RANK.AVG(Table15[[#This Row],[margin]], Table15[margin], 1)</f>
        <v>205.5</v>
      </c>
      <c r="C209" s="3">
        <f>COUNTIF(Table15[margin], Table15[[#This Row],[margin]])</f>
        <v>6</v>
      </c>
      <c r="D209" s="5" t="s">
        <v>15</v>
      </c>
      <c r="E209" s="6">
        <v>56</v>
      </c>
    </row>
    <row r="210" spans="2:5">
      <c r="B210" s="3">
        <f>_xlfn.RANK.AVG(Table15[[#This Row],[margin]], Table15[margin], 1)</f>
        <v>205.5</v>
      </c>
      <c r="C210" s="3">
        <f>COUNTIF(Table15[margin], Table15[[#This Row],[margin]])</f>
        <v>6</v>
      </c>
      <c r="D210" s="5" t="s">
        <v>15</v>
      </c>
      <c r="E210" s="6">
        <v>56</v>
      </c>
    </row>
    <row r="211" spans="2:5">
      <c r="B211" s="3">
        <f>_xlfn.RANK.AVG(Table15[[#This Row],[margin]], Table15[margin], 1)</f>
        <v>209.5</v>
      </c>
      <c r="C211" s="3">
        <f>COUNTIF(Table15[margin], Table15[[#This Row],[margin]])</f>
        <v>2</v>
      </c>
      <c r="D211" s="5" t="s">
        <v>19</v>
      </c>
      <c r="E211" s="6">
        <v>59</v>
      </c>
    </row>
    <row r="212" spans="2:5">
      <c r="B212" s="3">
        <f>_xlfn.RANK.AVG(Table15[[#This Row],[margin]], Table15[margin], 1)</f>
        <v>209.5</v>
      </c>
      <c r="C212" s="3">
        <f>COUNTIF(Table15[margin], Table15[[#This Row],[margin]])</f>
        <v>2</v>
      </c>
      <c r="D212" s="5" t="s">
        <v>15</v>
      </c>
      <c r="E212" s="6">
        <v>59</v>
      </c>
    </row>
    <row r="213" spans="2:5">
      <c r="B213" s="3">
        <f>_xlfn.RANK.AVG(Table15[[#This Row],[margin]], Table15[margin], 1)</f>
        <v>211</v>
      </c>
      <c r="C213" s="3">
        <f>COUNTIF(Table15[margin], Table15[[#This Row],[margin]])</f>
        <v>1</v>
      </c>
      <c r="D213" s="5" t="s">
        <v>15</v>
      </c>
      <c r="E213" s="6">
        <v>60</v>
      </c>
    </row>
    <row r="214" spans="2:5">
      <c r="B214" s="3">
        <f>_xlfn.RANK.AVG(Table15[[#This Row],[margin]], Table15[margin], 1)</f>
        <v>213</v>
      </c>
      <c r="C214" s="3">
        <f>COUNTIF(Table15[margin], Table15[[#This Row],[margin]])</f>
        <v>3</v>
      </c>
      <c r="D214" s="5" t="s">
        <v>15</v>
      </c>
      <c r="E214" s="6">
        <v>63</v>
      </c>
    </row>
    <row r="215" spans="2:5">
      <c r="B215" s="3">
        <f>_xlfn.RANK.AVG(Table15[[#This Row],[margin]], Table15[margin], 1)</f>
        <v>213</v>
      </c>
      <c r="C215" s="3">
        <f>COUNTIF(Table15[margin], Table15[[#This Row],[margin]])</f>
        <v>3</v>
      </c>
      <c r="D215" s="5" t="s">
        <v>15</v>
      </c>
      <c r="E215" s="6">
        <v>63</v>
      </c>
    </row>
    <row r="216" spans="2:5">
      <c r="B216" s="3">
        <f>_xlfn.RANK.AVG(Table15[[#This Row],[margin]], Table15[margin], 1)</f>
        <v>213</v>
      </c>
      <c r="C216" s="3">
        <f>COUNTIF(Table15[margin], Table15[[#This Row],[margin]])</f>
        <v>3</v>
      </c>
      <c r="D216" s="5" t="s">
        <v>15</v>
      </c>
      <c r="E216" s="6">
        <v>63</v>
      </c>
    </row>
    <row r="217" spans="2:5">
      <c r="B217" s="3">
        <f>_xlfn.RANK.AVG(Table15[[#This Row],[margin]], Table15[margin], 1)</f>
        <v>215</v>
      </c>
      <c r="C217" s="10">
        <f>COUNTIF(Table15[margin], Table15[[#This Row],[margin]])</f>
        <v>1</v>
      </c>
      <c r="D217" s="7" t="s">
        <v>15</v>
      </c>
      <c r="E217" s="8">
        <v>73</v>
      </c>
    </row>
  </sheetData>
  <mergeCells count="1">
    <mergeCell ref="G19:K38"/>
  </mergeCells>
  <conditionalFormatting sqref="D2:D217">
    <cfRule type="cellIs" dxfId="5" priority="1" operator="equal">
      <formula>"away"</formula>
    </cfRule>
    <cfRule type="cellIs" dxfId="4" priority="2" operator="equal">
      <formula>"home"</formula>
    </cfRule>
    <cfRule type="colorScale" priority="3">
      <colorScale>
        <cfvo type="min"/>
        <cfvo type="percentile" val="50"/>
        <cfvo type="max"/>
        <color rgb="FFF8696B"/>
        <color rgb="FFFFEB84"/>
        <color rgb="FF63BE7B"/>
      </colorScale>
    </cfRule>
  </conditionalFormatting>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CDAF72-8040-402C-99E0-E1CC8A9D837E}">
  <sheetPr>
    <tabColor theme="9" tint="0.59999389629810485"/>
  </sheetPr>
  <dimension ref="A1:S490"/>
  <sheetViews>
    <sheetView tabSelected="1" topLeftCell="H1" workbookViewId="0">
      <selection activeCell="L25" sqref="L25"/>
    </sheetView>
  </sheetViews>
  <sheetFormatPr defaultRowHeight="14.4"/>
  <cols>
    <col min="1" max="1" width="9.44140625" bestFit="1" customWidth="1"/>
    <col min="2" max="2" width="9.109375" bestFit="1" customWidth="1"/>
    <col min="3" max="3" width="11" bestFit="1" customWidth="1"/>
    <col min="4" max="4" width="12" bestFit="1" customWidth="1"/>
    <col min="5" max="5" width="21" bestFit="1" customWidth="1"/>
    <col min="6" max="6" width="13.33203125" bestFit="1" customWidth="1"/>
    <col min="7" max="7" width="11.21875" bestFit="1" customWidth="1"/>
    <col min="8" max="8" width="11.109375" bestFit="1" customWidth="1"/>
    <col min="9" max="9" width="7.109375" customWidth="1"/>
    <col min="10" max="10" width="8" bestFit="1" customWidth="1"/>
    <col min="11" max="12" width="27.21875" bestFit="1" customWidth="1"/>
    <col min="13" max="13" width="41.33203125" bestFit="1" customWidth="1"/>
    <col min="18" max="18" width="13.33203125" bestFit="1" customWidth="1"/>
    <col min="19" max="19" width="11.109375" bestFit="1" customWidth="1"/>
    <col min="21" max="21" width="12" bestFit="1" customWidth="1"/>
  </cols>
  <sheetData>
    <row r="1" spans="1:19">
      <c r="A1" t="s">
        <v>0</v>
      </c>
      <c r="B1" t="s">
        <v>1</v>
      </c>
      <c r="C1" t="s">
        <v>2</v>
      </c>
      <c r="D1" t="s">
        <v>3</v>
      </c>
      <c r="E1" t="s">
        <v>4</v>
      </c>
      <c r="F1" t="s">
        <v>5</v>
      </c>
      <c r="G1" t="s">
        <v>6</v>
      </c>
      <c r="H1" t="s">
        <v>7</v>
      </c>
      <c r="I1" t="s">
        <v>8</v>
      </c>
      <c r="J1" t="s">
        <v>9</v>
      </c>
      <c r="K1" t="s">
        <v>10</v>
      </c>
      <c r="L1" t="s">
        <v>11</v>
      </c>
      <c r="M1" s="25" t="s">
        <v>12</v>
      </c>
      <c r="N1" s="26" t="s">
        <v>15</v>
      </c>
      <c r="O1" s="26" t="s">
        <v>27</v>
      </c>
      <c r="P1" s="26" t="s">
        <v>132</v>
      </c>
      <c r="Q1" s="26" t="s">
        <v>133</v>
      </c>
      <c r="R1" s="26" t="s">
        <v>5</v>
      </c>
      <c r="S1" s="26" t="s">
        <v>7</v>
      </c>
    </row>
    <row r="2" spans="1:19">
      <c r="A2">
        <v>2007</v>
      </c>
      <c r="B2" s="1">
        <v>46266</v>
      </c>
      <c r="C2" t="s">
        <v>13</v>
      </c>
      <c r="D2">
        <v>18</v>
      </c>
      <c r="E2" t="s">
        <v>14</v>
      </c>
      <c r="F2">
        <v>0</v>
      </c>
      <c r="H2">
        <v>1</v>
      </c>
      <c r="I2" t="s">
        <v>15</v>
      </c>
      <c r="J2" t="s">
        <v>16</v>
      </c>
      <c r="K2">
        <v>52</v>
      </c>
      <c r="L2">
        <v>6</v>
      </c>
      <c r="M2" s="25">
        <v>46</v>
      </c>
      <c r="N2" s="26">
        <f>IF(I2="home",1,0)</f>
        <v>1</v>
      </c>
      <c r="O2" s="26">
        <f>IF(I2="neutral",1,0)</f>
        <v>0</v>
      </c>
      <c r="P2" s="26">
        <f>IF(D2&lt;12,1,0)</f>
        <v>0</v>
      </c>
      <c r="Q2" s="26">
        <f>IF(D2&gt;=17,1,0)</f>
        <v>1</v>
      </c>
      <c r="R2" s="26">
        <v>0</v>
      </c>
      <c r="S2" s="26">
        <v>1</v>
      </c>
    </row>
    <row r="3" spans="1:19">
      <c r="A3">
        <v>2007</v>
      </c>
      <c r="B3" s="1">
        <v>46273</v>
      </c>
      <c r="C3" t="s">
        <v>17</v>
      </c>
      <c r="D3">
        <v>11.5</v>
      </c>
      <c r="E3" t="s">
        <v>18</v>
      </c>
      <c r="F3">
        <v>0</v>
      </c>
      <c r="H3">
        <v>0</v>
      </c>
      <c r="I3" t="s">
        <v>19</v>
      </c>
      <c r="J3" t="s">
        <v>16</v>
      </c>
      <c r="K3">
        <v>24</v>
      </c>
      <c r="L3">
        <v>10</v>
      </c>
      <c r="M3" s="25">
        <v>14</v>
      </c>
      <c r="N3" s="26">
        <f t="shared" ref="N3:N66" si="0">IF(I3="home",1,0)</f>
        <v>0</v>
      </c>
      <c r="O3" s="26">
        <f t="shared" ref="O3:O66" si="1">IF(I3="neutral",1,0)</f>
        <v>0</v>
      </c>
      <c r="P3" s="26">
        <f t="shared" ref="P3:P66" si="2">IF(D3&lt;12,1,0)</f>
        <v>1</v>
      </c>
      <c r="Q3" s="26">
        <f>IF(D3&gt;=17,1,0)</f>
        <v>0</v>
      </c>
      <c r="R3" s="26">
        <v>0</v>
      </c>
      <c r="S3" s="26">
        <v>0</v>
      </c>
    </row>
    <row r="4" spans="1:19">
      <c r="A4">
        <v>2007</v>
      </c>
      <c r="B4" s="1">
        <v>46280</v>
      </c>
      <c r="C4" t="s">
        <v>20</v>
      </c>
      <c r="D4">
        <v>17.75</v>
      </c>
      <c r="E4" t="s">
        <v>21</v>
      </c>
      <c r="F4">
        <v>1</v>
      </c>
      <c r="G4">
        <v>16</v>
      </c>
      <c r="H4">
        <v>0</v>
      </c>
      <c r="I4" t="s">
        <v>15</v>
      </c>
      <c r="J4" t="s">
        <v>16</v>
      </c>
      <c r="K4">
        <v>41</v>
      </c>
      <c r="L4">
        <v>38</v>
      </c>
      <c r="M4" s="25">
        <v>3</v>
      </c>
      <c r="N4" s="26">
        <f t="shared" si="0"/>
        <v>1</v>
      </c>
      <c r="O4" s="26">
        <f t="shared" si="1"/>
        <v>0</v>
      </c>
      <c r="P4" s="26">
        <f t="shared" si="2"/>
        <v>0</v>
      </c>
      <c r="Q4" s="26">
        <f t="shared" ref="Q4:Q66" si="3">IF(D4&gt;=17,1,0)</f>
        <v>1</v>
      </c>
      <c r="R4" s="26">
        <v>1</v>
      </c>
      <c r="S4" s="26">
        <v>0</v>
      </c>
    </row>
    <row r="5" spans="1:19">
      <c r="A5">
        <v>2007</v>
      </c>
      <c r="B5" s="1">
        <v>46287</v>
      </c>
      <c r="C5" t="s">
        <v>22</v>
      </c>
      <c r="D5">
        <v>18.75</v>
      </c>
      <c r="E5" t="s">
        <v>23</v>
      </c>
      <c r="F5">
        <v>1</v>
      </c>
      <c r="G5">
        <v>22</v>
      </c>
      <c r="H5">
        <v>0</v>
      </c>
      <c r="I5" t="s">
        <v>15</v>
      </c>
      <c r="J5" t="s">
        <v>24</v>
      </c>
      <c r="K5">
        <v>23</v>
      </c>
      <c r="L5">
        <v>26</v>
      </c>
      <c r="M5" s="25">
        <v>-3</v>
      </c>
      <c r="N5" s="26">
        <f t="shared" si="0"/>
        <v>1</v>
      </c>
      <c r="O5" s="26">
        <f t="shared" si="1"/>
        <v>0</v>
      </c>
      <c r="P5" s="26">
        <f t="shared" si="2"/>
        <v>0</v>
      </c>
      <c r="Q5" s="26">
        <f t="shared" si="3"/>
        <v>1</v>
      </c>
      <c r="R5" s="26">
        <v>1</v>
      </c>
      <c r="S5" s="26">
        <v>0</v>
      </c>
    </row>
    <row r="6" spans="1:19">
      <c r="A6">
        <v>2007</v>
      </c>
      <c r="B6" s="1">
        <v>46294</v>
      </c>
      <c r="C6" t="s">
        <v>25</v>
      </c>
      <c r="D6">
        <v>16</v>
      </c>
      <c r="E6" t="s">
        <v>26</v>
      </c>
      <c r="F6">
        <v>0</v>
      </c>
      <c r="H6">
        <v>1</v>
      </c>
      <c r="I6" t="s">
        <v>27</v>
      </c>
      <c r="J6" t="s">
        <v>24</v>
      </c>
      <c r="K6">
        <v>14</v>
      </c>
      <c r="L6">
        <v>21</v>
      </c>
      <c r="M6" s="25">
        <v>-7</v>
      </c>
      <c r="N6" s="26">
        <f t="shared" si="0"/>
        <v>0</v>
      </c>
      <c r="O6" s="26">
        <f t="shared" si="1"/>
        <v>1</v>
      </c>
      <c r="P6" s="26">
        <f t="shared" si="2"/>
        <v>0</v>
      </c>
      <c r="Q6" s="26">
        <f t="shared" si="3"/>
        <v>0</v>
      </c>
      <c r="R6" s="26">
        <v>0</v>
      </c>
      <c r="S6" s="26">
        <v>1</v>
      </c>
    </row>
    <row r="7" spans="1:19">
      <c r="A7">
        <v>2007</v>
      </c>
      <c r="B7" s="1">
        <v>46301</v>
      </c>
      <c r="C7" t="s">
        <v>28</v>
      </c>
      <c r="D7">
        <v>14</v>
      </c>
      <c r="E7" t="s">
        <v>29</v>
      </c>
      <c r="F7">
        <v>0</v>
      </c>
      <c r="H7">
        <v>1</v>
      </c>
      <c r="I7" t="s">
        <v>15</v>
      </c>
      <c r="J7" t="s">
        <v>16</v>
      </c>
      <c r="K7">
        <v>30</v>
      </c>
      <c r="L7">
        <v>24</v>
      </c>
      <c r="M7" s="25">
        <v>6</v>
      </c>
      <c r="N7" s="26">
        <f t="shared" si="0"/>
        <v>1</v>
      </c>
      <c r="O7" s="26">
        <f t="shared" si="1"/>
        <v>0</v>
      </c>
      <c r="P7" s="26">
        <f t="shared" si="2"/>
        <v>0</v>
      </c>
      <c r="Q7" s="26">
        <f t="shared" si="3"/>
        <v>0</v>
      </c>
      <c r="R7" s="26">
        <v>0</v>
      </c>
      <c r="S7" s="26">
        <v>1</v>
      </c>
    </row>
    <row r="8" spans="1:19">
      <c r="A8">
        <v>2007</v>
      </c>
      <c r="B8" s="1">
        <v>46308</v>
      </c>
      <c r="C8" t="s">
        <v>17</v>
      </c>
      <c r="D8">
        <v>11.5</v>
      </c>
      <c r="E8" t="s">
        <v>30</v>
      </c>
      <c r="F8">
        <v>0</v>
      </c>
      <c r="H8">
        <v>0</v>
      </c>
      <c r="I8" t="s">
        <v>19</v>
      </c>
      <c r="J8" t="s">
        <v>16</v>
      </c>
      <c r="K8">
        <v>27</v>
      </c>
      <c r="L8">
        <v>24</v>
      </c>
      <c r="M8" s="25">
        <v>3</v>
      </c>
      <c r="N8" s="26">
        <f t="shared" si="0"/>
        <v>0</v>
      </c>
      <c r="O8" s="26">
        <f t="shared" si="1"/>
        <v>0</v>
      </c>
      <c r="P8" s="26">
        <f t="shared" si="2"/>
        <v>1</v>
      </c>
      <c r="Q8" s="26">
        <f t="shared" si="3"/>
        <v>0</v>
      </c>
      <c r="R8" s="26">
        <v>0</v>
      </c>
      <c r="S8" s="26">
        <v>0</v>
      </c>
    </row>
    <row r="9" spans="1:19">
      <c r="A9">
        <v>2007</v>
      </c>
      <c r="B9" s="1">
        <v>46315</v>
      </c>
      <c r="C9" t="s">
        <v>17</v>
      </c>
      <c r="D9">
        <v>11.5</v>
      </c>
      <c r="E9" t="s">
        <v>31</v>
      </c>
      <c r="F9">
        <v>1</v>
      </c>
      <c r="G9">
        <v>20</v>
      </c>
      <c r="H9">
        <v>0</v>
      </c>
      <c r="I9" t="s">
        <v>15</v>
      </c>
      <c r="J9" t="s">
        <v>16</v>
      </c>
      <c r="K9">
        <v>41</v>
      </c>
      <c r="L9">
        <v>17</v>
      </c>
      <c r="M9" s="25">
        <v>24</v>
      </c>
      <c r="N9" s="26">
        <f t="shared" si="0"/>
        <v>1</v>
      </c>
      <c r="O9" s="26">
        <f t="shared" si="1"/>
        <v>0</v>
      </c>
      <c r="P9" s="26">
        <f t="shared" si="2"/>
        <v>1</v>
      </c>
      <c r="Q9" s="26">
        <f t="shared" si="3"/>
        <v>0</v>
      </c>
      <c r="R9" s="26">
        <v>1</v>
      </c>
      <c r="S9" s="26">
        <v>0</v>
      </c>
    </row>
    <row r="10" spans="1:19">
      <c r="A10">
        <v>2007</v>
      </c>
      <c r="B10" s="1">
        <v>46329</v>
      </c>
      <c r="C10" t="s">
        <v>25</v>
      </c>
      <c r="D10">
        <v>16</v>
      </c>
      <c r="E10" t="s">
        <v>32</v>
      </c>
      <c r="F10">
        <v>1</v>
      </c>
      <c r="G10">
        <v>3</v>
      </c>
      <c r="H10">
        <v>0</v>
      </c>
      <c r="I10" t="s">
        <v>15</v>
      </c>
      <c r="J10" t="s">
        <v>24</v>
      </c>
      <c r="K10">
        <v>34</v>
      </c>
      <c r="L10">
        <v>41</v>
      </c>
      <c r="M10" s="25">
        <v>-7</v>
      </c>
      <c r="N10" s="26">
        <f t="shared" si="0"/>
        <v>1</v>
      </c>
      <c r="O10" s="26">
        <f t="shared" si="1"/>
        <v>0</v>
      </c>
      <c r="P10" s="26">
        <f t="shared" si="2"/>
        <v>0</v>
      </c>
      <c r="Q10" s="26">
        <f t="shared" si="3"/>
        <v>0</v>
      </c>
      <c r="R10" s="26">
        <v>1</v>
      </c>
      <c r="S10" s="26">
        <v>0</v>
      </c>
    </row>
    <row r="11" spans="1:19">
      <c r="A11">
        <v>2007</v>
      </c>
      <c r="B11" s="1">
        <v>46336</v>
      </c>
      <c r="C11" t="s">
        <v>17</v>
      </c>
      <c r="D11">
        <v>11.5</v>
      </c>
      <c r="E11" t="s">
        <v>33</v>
      </c>
      <c r="F11">
        <v>0</v>
      </c>
      <c r="H11">
        <v>0</v>
      </c>
      <c r="I11" t="s">
        <v>19</v>
      </c>
      <c r="J11" t="s">
        <v>24</v>
      </c>
      <c r="K11">
        <v>12</v>
      </c>
      <c r="L11">
        <v>17</v>
      </c>
      <c r="M11" s="25">
        <v>-5</v>
      </c>
      <c r="N11" s="26">
        <f t="shared" si="0"/>
        <v>0</v>
      </c>
      <c r="O11" s="26">
        <f t="shared" si="1"/>
        <v>0</v>
      </c>
      <c r="P11" s="26">
        <f t="shared" si="2"/>
        <v>1</v>
      </c>
      <c r="Q11" s="26">
        <f t="shared" si="3"/>
        <v>0</v>
      </c>
      <c r="R11" s="26">
        <v>0</v>
      </c>
      <c r="S11" s="26">
        <v>0</v>
      </c>
    </row>
    <row r="12" spans="1:19">
      <c r="A12">
        <v>2007</v>
      </c>
      <c r="B12" s="1">
        <v>46343</v>
      </c>
      <c r="C12" t="s">
        <v>34</v>
      </c>
      <c r="D12">
        <v>13.5</v>
      </c>
      <c r="E12" t="s">
        <v>35</v>
      </c>
      <c r="F12">
        <v>0</v>
      </c>
      <c r="H12">
        <v>1</v>
      </c>
      <c r="I12" t="s">
        <v>15</v>
      </c>
      <c r="J12" t="s">
        <v>24</v>
      </c>
      <c r="K12">
        <v>14</v>
      </c>
      <c r="L12">
        <v>21</v>
      </c>
      <c r="M12" s="25">
        <v>-7</v>
      </c>
      <c r="N12" s="26">
        <f t="shared" si="0"/>
        <v>1</v>
      </c>
      <c r="O12" s="26">
        <f t="shared" si="1"/>
        <v>0</v>
      </c>
      <c r="P12" s="26">
        <f t="shared" si="2"/>
        <v>0</v>
      </c>
      <c r="Q12" s="26">
        <f t="shared" si="3"/>
        <v>0</v>
      </c>
      <c r="R12" s="26">
        <v>0</v>
      </c>
      <c r="S12" s="26">
        <v>1</v>
      </c>
    </row>
    <row r="13" spans="1:19">
      <c r="A13">
        <v>2007</v>
      </c>
      <c r="B13" s="1">
        <v>46350</v>
      </c>
      <c r="C13" t="s">
        <v>36</v>
      </c>
      <c r="D13">
        <v>19</v>
      </c>
      <c r="E13" t="s">
        <v>37</v>
      </c>
      <c r="F13">
        <v>1</v>
      </c>
      <c r="G13">
        <v>25</v>
      </c>
      <c r="H13">
        <v>0</v>
      </c>
      <c r="I13" t="s">
        <v>19</v>
      </c>
      <c r="J13" t="s">
        <v>24</v>
      </c>
      <c r="K13">
        <v>10</v>
      </c>
      <c r="L13">
        <v>17</v>
      </c>
      <c r="M13" s="25">
        <v>-7</v>
      </c>
      <c r="N13" s="26">
        <f t="shared" si="0"/>
        <v>0</v>
      </c>
      <c r="O13" s="26">
        <f t="shared" si="1"/>
        <v>0</v>
      </c>
      <c r="P13" s="26">
        <f t="shared" si="2"/>
        <v>0</v>
      </c>
      <c r="Q13" s="26">
        <f t="shared" si="3"/>
        <v>1</v>
      </c>
      <c r="R13" s="26">
        <v>1</v>
      </c>
      <c r="S13" s="26">
        <v>0</v>
      </c>
    </row>
    <row r="14" spans="1:19">
      <c r="A14">
        <v>2007</v>
      </c>
      <c r="B14" s="1">
        <v>46386</v>
      </c>
      <c r="C14" t="s">
        <v>36</v>
      </c>
      <c r="D14">
        <v>19</v>
      </c>
      <c r="E14" t="s">
        <v>38</v>
      </c>
      <c r="F14">
        <v>0</v>
      </c>
      <c r="H14">
        <v>1</v>
      </c>
      <c r="I14" t="s">
        <v>27</v>
      </c>
      <c r="J14" t="s">
        <v>16</v>
      </c>
      <c r="K14">
        <v>30</v>
      </c>
      <c r="L14">
        <v>24</v>
      </c>
      <c r="M14" s="25">
        <v>6</v>
      </c>
      <c r="N14" s="26">
        <f t="shared" si="0"/>
        <v>0</v>
      </c>
      <c r="O14" s="26">
        <f t="shared" si="1"/>
        <v>1</v>
      </c>
      <c r="P14" s="26">
        <f t="shared" si="2"/>
        <v>0</v>
      </c>
      <c r="Q14" s="26">
        <f t="shared" si="3"/>
        <v>1</v>
      </c>
      <c r="R14" s="26">
        <v>0</v>
      </c>
      <c r="S14" s="26">
        <v>1</v>
      </c>
    </row>
    <row r="15" spans="1:19">
      <c r="A15">
        <v>2008</v>
      </c>
      <c r="B15" s="1">
        <v>46264</v>
      </c>
      <c r="C15" t="s">
        <v>36</v>
      </c>
      <c r="D15">
        <v>19</v>
      </c>
      <c r="E15" t="s">
        <v>39</v>
      </c>
      <c r="F15">
        <v>1</v>
      </c>
      <c r="G15">
        <v>9</v>
      </c>
      <c r="H15">
        <v>1</v>
      </c>
      <c r="I15" t="s">
        <v>27</v>
      </c>
      <c r="J15" t="s">
        <v>16</v>
      </c>
      <c r="K15">
        <v>34</v>
      </c>
      <c r="L15">
        <v>10</v>
      </c>
      <c r="M15" s="25">
        <v>24</v>
      </c>
      <c r="N15" s="26">
        <f t="shared" si="0"/>
        <v>0</v>
      </c>
      <c r="O15" s="26">
        <f t="shared" si="1"/>
        <v>1</v>
      </c>
      <c r="P15" s="26">
        <f t="shared" si="2"/>
        <v>0</v>
      </c>
      <c r="Q15" s="26">
        <f t="shared" si="3"/>
        <v>1</v>
      </c>
      <c r="R15" s="26">
        <v>1</v>
      </c>
      <c r="S15" s="26">
        <v>1</v>
      </c>
    </row>
    <row r="16" spans="1:19">
      <c r="A16">
        <v>2008</v>
      </c>
      <c r="B16" s="1">
        <v>46271</v>
      </c>
      <c r="C16" t="s">
        <v>13</v>
      </c>
      <c r="D16">
        <v>18</v>
      </c>
      <c r="E16" t="s">
        <v>40</v>
      </c>
      <c r="F16">
        <v>0</v>
      </c>
      <c r="H16">
        <v>1</v>
      </c>
      <c r="I16" t="s">
        <v>15</v>
      </c>
      <c r="J16" t="s">
        <v>16</v>
      </c>
      <c r="K16">
        <v>20</v>
      </c>
      <c r="L16">
        <v>6</v>
      </c>
      <c r="M16" s="25">
        <v>14</v>
      </c>
      <c r="N16" s="26">
        <f t="shared" si="0"/>
        <v>1</v>
      </c>
      <c r="O16" s="26">
        <f t="shared" si="1"/>
        <v>0</v>
      </c>
      <c r="P16" s="26">
        <f t="shared" si="2"/>
        <v>0</v>
      </c>
      <c r="Q16" s="26">
        <f t="shared" si="3"/>
        <v>1</v>
      </c>
      <c r="R16" s="26">
        <v>0</v>
      </c>
      <c r="S16" s="26">
        <v>1</v>
      </c>
    </row>
    <row r="17" spans="1:19">
      <c r="A17">
        <v>2008</v>
      </c>
      <c r="B17" s="1">
        <v>46278</v>
      </c>
      <c r="C17" t="s">
        <v>13</v>
      </c>
      <c r="D17">
        <v>18</v>
      </c>
      <c r="E17" t="s">
        <v>41</v>
      </c>
      <c r="F17">
        <v>0</v>
      </c>
      <c r="H17">
        <v>1</v>
      </c>
      <c r="I17" t="s">
        <v>15</v>
      </c>
      <c r="J17" t="s">
        <v>16</v>
      </c>
      <c r="K17">
        <v>41</v>
      </c>
      <c r="L17">
        <v>7</v>
      </c>
      <c r="M17" s="25">
        <v>34</v>
      </c>
      <c r="N17" s="26">
        <f t="shared" si="0"/>
        <v>1</v>
      </c>
      <c r="O17" s="26">
        <f t="shared" si="1"/>
        <v>0</v>
      </c>
      <c r="P17" s="26">
        <f t="shared" si="2"/>
        <v>0</v>
      </c>
      <c r="Q17" s="26">
        <f t="shared" si="3"/>
        <v>1</v>
      </c>
      <c r="R17" s="26">
        <v>0</v>
      </c>
      <c r="S17" s="26">
        <v>1</v>
      </c>
    </row>
    <row r="18" spans="1:19">
      <c r="A18">
        <v>2008</v>
      </c>
      <c r="B18" s="1">
        <v>46285</v>
      </c>
      <c r="C18" t="s">
        <v>17</v>
      </c>
      <c r="D18">
        <v>11.5</v>
      </c>
      <c r="E18" t="s">
        <v>21</v>
      </c>
      <c r="F18">
        <v>0</v>
      </c>
      <c r="H18">
        <v>0</v>
      </c>
      <c r="I18" t="s">
        <v>19</v>
      </c>
      <c r="J18" t="s">
        <v>16</v>
      </c>
      <c r="K18">
        <v>49</v>
      </c>
      <c r="L18">
        <v>14</v>
      </c>
      <c r="M18" s="25">
        <v>35</v>
      </c>
      <c r="N18" s="26">
        <f t="shared" si="0"/>
        <v>0</v>
      </c>
      <c r="O18" s="26">
        <f t="shared" si="1"/>
        <v>0</v>
      </c>
      <c r="P18" s="26">
        <f t="shared" si="2"/>
        <v>1</v>
      </c>
      <c r="Q18" s="26">
        <f t="shared" si="3"/>
        <v>0</v>
      </c>
      <c r="R18" s="26">
        <v>0</v>
      </c>
      <c r="S18" s="26">
        <v>0</v>
      </c>
    </row>
    <row r="19" spans="1:19">
      <c r="A19">
        <v>2008</v>
      </c>
      <c r="B19" s="1">
        <v>46292</v>
      </c>
      <c r="C19" t="s">
        <v>22</v>
      </c>
      <c r="D19">
        <v>18.75</v>
      </c>
      <c r="E19" t="s">
        <v>23</v>
      </c>
      <c r="F19">
        <v>1</v>
      </c>
      <c r="G19">
        <v>3</v>
      </c>
      <c r="H19">
        <v>0</v>
      </c>
      <c r="I19" t="s">
        <v>19</v>
      </c>
      <c r="J19" t="s">
        <v>16</v>
      </c>
      <c r="K19">
        <v>41</v>
      </c>
      <c r="L19">
        <v>30</v>
      </c>
      <c r="M19" s="25">
        <v>11</v>
      </c>
      <c r="N19" s="26">
        <f t="shared" si="0"/>
        <v>0</v>
      </c>
      <c r="O19" s="26">
        <f t="shared" si="1"/>
        <v>0</v>
      </c>
      <c r="P19" s="26">
        <f t="shared" si="2"/>
        <v>0</v>
      </c>
      <c r="Q19" s="26">
        <f t="shared" si="3"/>
        <v>1</v>
      </c>
      <c r="R19" s="26">
        <v>1</v>
      </c>
      <c r="S19" s="26">
        <v>0</v>
      </c>
    </row>
    <row r="20" spans="1:19">
      <c r="A20">
        <v>2008</v>
      </c>
      <c r="B20" s="1">
        <v>46299</v>
      </c>
      <c r="C20" t="s">
        <v>42</v>
      </c>
      <c r="D20">
        <v>14.5</v>
      </c>
      <c r="E20" t="s">
        <v>43</v>
      </c>
      <c r="F20">
        <v>0</v>
      </c>
      <c r="H20">
        <v>0</v>
      </c>
      <c r="I20" t="s">
        <v>15</v>
      </c>
      <c r="J20" t="s">
        <v>16</v>
      </c>
      <c r="K20">
        <v>17</v>
      </c>
      <c r="L20">
        <v>14</v>
      </c>
      <c r="M20" s="25">
        <v>3</v>
      </c>
      <c r="N20" s="26">
        <f t="shared" si="0"/>
        <v>1</v>
      </c>
      <c r="O20" s="26">
        <f t="shared" si="1"/>
        <v>0</v>
      </c>
      <c r="P20" s="26">
        <f t="shared" si="2"/>
        <v>0</v>
      </c>
      <c r="Q20" s="26">
        <f t="shared" si="3"/>
        <v>0</v>
      </c>
      <c r="R20" s="26">
        <v>0</v>
      </c>
      <c r="S20" s="26">
        <v>0</v>
      </c>
    </row>
    <row r="21" spans="1:19">
      <c r="A21">
        <v>2008</v>
      </c>
      <c r="B21" s="1">
        <v>46313</v>
      </c>
      <c r="C21" t="s">
        <v>42</v>
      </c>
      <c r="D21">
        <v>14.5</v>
      </c>
      <c r="E21" t="s">
        <v>30</v>
      </c>
      <c r="F21">
        <v>0</v>
      </c>
      <c r="H21">
        <v>0</v>
      </c>
      <c r="I21" t="s">
        <v>15</v>
      </c>
      <c r="J21" t="s">
        <v>16</v>
      </c>
      <c r="K21">
        <v>24</v>
      </c>
      <c r="L21">
        <v>20</v>
      </c>
      <c r="M21" s="25">
        <v>4</v>
      </c>
      <c r="N21" s="26">
        <f t="shared" si="0"/>
        <v>1</v>
      </c>
      <c r="O21" s="26">
        <f t="shared" si="1"/>
        <v>0</v>
      </c>
      <c r="P21" s="26">
        <f t="shared" si="2"/>
        <v>0</v>
      </c>
      <c r="Q21" s="26">
        <f t="shared" si="3"/>
        <v>0</v>
      </c>
      <c r="R21" s="26">
        <v>0</v>
      </c>
      <c r="S21" s="26">
        <v>0</v>
      </c>
    </row>
    <row r="22" spans="1:19">
      <c r="A22">
        <v>2008</v>
      </c>
      <c r="B22" s="1">
        <v>46320</v>
      </c>
      <c r="C22" t="s">
        <v>22</v>
      </c>
      <c r="D22">
        <v>18.75</v>
      </c>
      <c r="E22" t="s">
        <v>31</v>
      </c>
      <c r="F22">
        <v>0</v>
      </c>
      <c r="H22">
        <v>0</v>
      </c>
      <c r="I22" t="s">
        <v>19</v>
      </c>
      <c r="J22" t="s">
        <v>16</v>
      </c>
      <c r="K22">
        <v>29</v>
      </c>
      <c r="L22">
        <v>9</v>
      </c>
      <c r="M22" s="25">
        <v>20</v>
      </c>
      <c r="N22" s="26">
        <f t="shared" si="0"/>
        <v>0</v>
      </c>
      <c r="O22" s="26">
        <f t="shared" si="1"/>
        <v>0</v>
      </c>
      <c r="P22" s="26">
        <f t="shared" si="2"/>
        <v>0</v>
      </c>
      <c r="Q22" s="26">
        <f t="shared" si="3"/>
        <v>1</v>
      </c>
      <c r="R22" s="26">
        <v>0</v>
      </c>
      <c r="S22" s="26">
        <v>0</v>
      </c>
    </row>
    <row r="23" spans="1:19">
      <c r="A23">
        <v>2008</v>
      </c>
      <c r="B23" s="1">
        <v>46327</v>
      </c>
      <c r="C23" t="s">
        <v>28</v>
      </c>
      <c r="D23">
        <v>14</v>
      </c>
      <c r="E23" t="s">
        <v>44</v>
      </c>
      <c r="F23">
        <v>0</v>
      </c>
      <c r="H23">
        <v>1</v>
      </c>
      <c r="I23" t="s">
        <v>15</v>
      </c>
      <c r="J23" t="s">
        <v>16</v>
      </c>
      <c r="K23">
        <v>35</v>
      </c>
      <c r="L23">
        <v>0</v>
      </c>
      <c r="M23" s="25">
        <v>35</v>
      </c>
      <c r="N23" s="26">
        <f t="shared" si="0"/>
        <v>1</v>
      </c>
      <c r="O23" s="26">
        <f t="shared" si="1"/>
        <v>0</v>
      </c>
      <c r="P23" s="26">
        <f t="shared" si="2"/>
        <v>0</v>
      </c>
      <c r="Q23" s="26">
        <f t="shared" si="3"/>
        <v>0</v>
      </c>
      <c r="R23" s="26">
        <v>0</v>
      </c>
      <c r="S23" s="26">
        <v>1</v>
      </c>
    </row>
    <row r="24" spans="1:19">
      <c r="A24">
        <v>2008</v>
      </c>
      <c r="B24" s="1">
        <v>46334</v>
      </c>
      <c r="C24" t="s">
        <v>42</v>
      </c>
      <c r="D24">
        <v>14.5</v>
      </c>
      <c r="E24" t="s">
        <v>32</v>
      </c>
      <c r="F24">
        <v>1</v>
      </c>
      <c r="G24">
        <v>15</v>
      </c>
      <c r="H24">
        <v>0</v>
      </c>
      <c r="I24" t="s">
        <v>19</v>
      </c>
      <c r="J24" t="s">
        <v>16</v>
      </c>
      <c r="K24">
        <v>27</v>
      </c>
      <c r="L24">
        <v>21</v>
      </c>
      <c r="M24" s="25">
        <v>6</v>
      </c>
      <c r="N24" s="26">
        <f t="shared" si="0"/>
        <v>0</v>
      </c>
      <c r="O24" s="26">
        <f t="shared" si="1"/>
        <v>0</v>
      </c>
      <c r="P24" s="26">
        <f t="shared" si="2"/>
        <v>0</v>
      </c>
      <c r="Q24" s="26">
        <f t="shared" si="3"/>
        <v>0</v>
      </c>
      <c r="R24" s="26">
        <v>1</v>
      </c>
      <c r="S24" s="26">
        <v>0</v>
      </c>
    </row>
    <row r="25" spans="1:19">
      <c r="A25">
        <v>2008</v>
      </c>
      <c r="B25" s="1">
        <v>46341</v>
      </c>
      <c r="C25" t="s">
        <v>22</v>
      </c>
      <c r="D25">
        <v>18.75</v>
      </c>
      <c r="E25" t="s">
        <v>33</v>
      </c>
      <c r="F25">
        <v>0</v>
      </c>
      <c r="H25">
        <v>0</v>
      </c>
      <c r="I25" t="s">
        <v>15</v>
      </c>
      <c r="J25" t="s">
        <v>16</v>
      </c>
      <c r="K25">
        <v>32</v>
      </c>
      <c r="L25">
        <v>7</v>
      </c>
      <c r="M25" s="25">
        <v>25</v>
      </c>
      <c r="N25" s="26">
        <f t="shared" si="0"/>
        <v>1</v>
      </c>
      <c r="O25" s="26">
        <f t="shared" si="1"/>
        <v>0</v>
      </c>
      <c r="P25" s="26">
        <f t="shared" si="2"/>
        <v>0</v>
      </c>
      <c r="Q25" s="26">
        <f t="shared" si="3"/>
        <v>1</v>
      </c>
      <c r="R25" s="26">
        <v>0</v>
      </c>
      <c r="S25" s="26">
        <v>0</v>
      </c>
    </row>
    <row r="26" spans="1:19">
      <c r="A26">
        <v>2008</v>
      </c>
      <c r="B26" s="1">
        <v>46355</v>
      </c>
      <c r="C26" t="s">
        <v>42</v>
      </c>
      <c r="D26">
        <v>14.5</v>
      </c>
      <c r="E26" t="s">
        <v>37</v>
      </c>
      <c r="F26">
        <v>0</v>
      </c>
      <c r="H26">
        <v>0</v>
      </c>
      <c r="I26" t="s">
        <v>15</v>
      </c>
      <c r="J26" t="s">
        <v>16</v>
      </c>
      <c r="K26">
        <v>36</v>
      </c>
      <c r="L26">
        <v>0</v>
      </c>
      <c r="M26" s="25">
        <v>36</v>
      </c>
      <c r="N26" s="26">
        <f t="shared" si="0"/>
        <v>1</v>
      </c>
      <c r="O26" s="26">
        <f t="shared" si="1"/>
        <v>0</v>
      </c>
      <c r="P26" s="26">
        <f t="shared" si="2"/>
        <v>0</v>
      </c>
      <c r="Q26" s="26">
        <f t="shared" si="3"/>
        <v>0</v>
      </c>
      <c r="R26" s="26">
        <v>0</v>
      </c>
      <c r="S26" s="26">
        <v>0</v>
      </c>
    </row>
    <row r="27" spans="1:19">
      <c r="A27">
        <v>2008</v>
      </c>
      <c r="B27" s="1">
        <v>46362</v>
      </c>
      <c r="C27" t="s">
        <v>45</v>
      </c>
      <c r="D27">
        <v>15</v>
      </c>
      <c r="E27" t="s">
        <v>46</v>
      </c>
      <c r="F27">
        <v>1</v>
      </c>
      <c r="G27">
        <v>2</v>
      </c>
      <c r="H27">
        <v>0</v>
      </c>
      <c r="I27" t="s">
        <v>27</v>
      </c>
      <c r="J27" t="s">
        <v>24</v>
      </c>
      <c r="K27">
        <v>20</v>
      </c>
      <c r="L27">
        <v>31</v>
      </c>
      <c r="M27" s="25">
        <v>-11</v>
      </c>
      <c r="N27" s="26">
        <f t="shared" si="0"/>
        <v>0</v>
      </c>
      <c r="O27" s="26">
        <f t="shared" si="1"/>
        <v>1</v>
      </c>
      <c r="P27" s="26">
        <f t="shared" si="2"/>
        <v>0</v>
      </c>
      <c r="Q27" s="26">
        <f t="shared" si="3"/>
        <v>0</v>
      </c>
      <c r="R27" s="26">
        <v>1</v>
      </c>
      <c r="S27" s="26">
        <v>0</v>
      </c>
    </row>
    <row r="28" spans="1:19">
      <c r="A28">
        <v>2008</v>
      </c>
      <c r="B28" s="2">
        <v>39815</v>
      </c>
      <c r="C28" t="s">
        <v>36</v>
      </c>
      <c r="D28">
        <v>19</v>
      </c>
      <c r="E28" t="s">
        <v>47</v>
      </c>
      <c r="F28">
        <v>1</v>
      </c>
      <c r="G28">
        <v>7</v>
      </c>
      <c r="H28">
        <v>1</v>
      </c>
      <c r="I28" t="s">
        <v>27</v>
      </c>
      <c r="J28" t="s">
        <v>24</v>
      </c>
      <c r="K28">
        <v>17</v>
      </c>
      <c r="L28">
        <v>31</v>
      </c>
      <c r="M28" s="25">
        <v>-14</v>
      </c>
      <c r="N28" s="26">
        <f t="shared" si="0"/>
        <v>0</v>
      </c>
      <c r="O28" s="26">
        <f t="shared" si="1"/>
        <v>1</v>
      </c>
      <c r="P28" s="26">
        <f t="shared" si="2"/>
        <v>0</v>
      </c>
      <c r="Q28" s="26">
        <f t="shared" si="3"/>
        <v>1</v>
      </c>
      <c r="R28" s="26">
        <v>1</v>
      </c>
      <c r="S28" s="26">
        <v>1</v>
      </c>
    </row>
    <row r="29" spans="1:19">
      <c r="A29">
        <v>2009</v>
      </c>
      <c r="B29" s="1">
        <v>46270</v>
      </c>
      <c r="C29" t="s">
        <v>48</v>
      </c>
      <c r="D29">
        <v>19.1666666666666</v>
      </c>
      <c r="E29" t="s">
        <v>49</v>
      </c>
      <c r="F29">
        <v>1</v>
      </c>
      <c r="G29">
        <v>7</v>
      </c>
      <c r="H29">
        <v>1</v>
      </c>
      <c r="I29" t="s">
        <v>27</v>
      </c>
      <c r="J29" t="s">
        <v>16</v>
      </c>
      <c r="K29">
        <v>34</v>
      </c>
      <c r="L29">
        <v>24</v>
      </c>
      <c r="M29" s="25">
        <v>10</v>
      </c>
      <c r="N29" s="26">
        <f t="shared" si="0"/>
        <v>0</v>
      </c>
      <c r="O29" s="26">
        <f t="shared" si="1"/>
        <v>1</v>
      </c>
      <c r="P29" s="26">
        <f t="shared" si="2"/>
        <v>0</v>
      </c>
      <c r="Q29" s="26">
        <f t="shared" si="3"/>
        <v>1</v>
      </c>
      <c r="R29" s="26">
        <v>1</v>
      </c>
      <c r="S29" s="26">
        <v>1</v>
      </c>
    </row>
    <row r="30" spans="1:19">
      <c r="A30">
        <v>2009</v>
      </c>
      <c r="B30" s="1">
        <v>46277</v>
      </c>
      <c r="C30" t="s">
        <v>50</v>
      </c>
      <c r="D30">
        <v>18.1166666666666</v>
      </c>
      <c r="E30" t="s">
        <v>51</v>
      </c>
      <c r="F30">
        <v>0</v>
      </c>
      <c r="H30">
        <v>1</v>
      </c>
      <c r="I30" t="s">
        <v>15</v>
      </c>
      <c r="J30" t="s">
        <v>16</v>
      </c>
      <c r="K30">
        <v>40</v>
      </c>
      <c r="L30">
        <v>14</v>
      </c>
      <c r="M30" s="25">
        <v>26</v>
      </c>
      <c r="N30" s="26">
        <f t="shared" si="0"/>
        <v>1</v>
      </c>
      <c r="O30" s="26">
        <f t="shared" si="1"/>
        <v>0</v>
      </c>
      <c r="P30" s="26">
        <f t="shared" si="2"/>
        <v>0</v>
      </c>
      <c r="Q30" s="26">
        <f t="shared" si="3"/>
        <v>1</v>
      </c>
      <c r="R30" s="26">
        <v>0</v>
      </c>
      <c r="S30" s="26">
        <v>1</v>
      </c>
    </row>
    <row r="31" spans="1:19">
      <c r="A31">
        <v>2009</v>
      </c>
      <c r="B31" s="1">
        <v>46284</v>
      </c>
      <c r="C31" t="s">
        <v>52</v>
      </c>
      <c r="D31">
        <v>11.35</v>
      </c>
      <c r="E31" t="s">
        <v>53</v>
      </c>
      <c r="F31">
        <v>0</v>
      </c>
      <c r="H31">
        <v>1</v>
      </c>
      <c r="I31" t="s">
        <v>15</v>
      </c>
      <c r="J31" t="s">
        <v>16</v>
      </c>
      <c r="K31">
        <v>53</v>
      </c>
      <c r="L31">
        <v>7</v>
      </c>
      <c r="M31" s="25">
        <v>46</v>
      </c>
      <c r="N31" s="26">
        <f t="shared" si="0"/>
        <v>1</v>
      </c>
      <c r="O31" s="26">
        <f t="shared" si="1"/>
        <v>0</v>
      </c>
      <c r="P31" s="26">
        <f t="shared" si="2"/>
        <v>1</v>
      </c>
      <c r="Q31" s="26">
        <f t="shared" si="3"/>
        <v>0</v>
      </c>
      <c r="R31" s="26">
        <v>0</v>
      </c>
      <c r="S31" s="26">
        <v>1</v>
      </c>
    </row>
    <row r="32" spans="1:19">
      <c r="A32">
        <v>2009</v>
      </c>
      <c r="B32" s="1">
        <v>46291</v>
      </c>
      <c r="C32" t="s">
        <v>42</v>
      </c>
      <c r="D32">
        <v>14.5</v>
      </c>
      <c r="E32" t="s">
        <v>21</v>
      </c>
      <c r="F32">
        <v>0</v>
      </c>
      <c r="H32">
        <v>0</v>
      </c>
      <c r="I32" t="s">
        <v>15</v>
      </c>
      <c r="J32" t="s">
        <v>16</v>
      </c>
      <c r="K32">
        <v>35</v>
      </c>
      <c r="L32">
        <v>7</v>
      </c>
      <c r="M32" s="25">
        <v>28</v>
      </c>
      <c r="N32" s="26">
        <f t="shared" si="0"/>
        <v>1</v>
      </c>
      <c r="O32" s="26">
        <f t="shared" si="1"/>
        <v>0</v>
      </c>
      <c r="P32" s="26">
        <f t="shared" si="2"/>
        <v>0</v>
      </c>
      <c r="Q32" s="26">
        <f t="shared" si="3"/>
        <v>0</v>
      </c>
      <c r="R32" s="26">
        <v>0</v>
      </c>
      <c r="S32" s="26">
        <v>0</v>
      </c>
    </row>
    <row r="33" spans="1:19">
      <c r="A33">
        <v>2009</v>
      </c>
      <c r="B33" s="1">
        <v>46298</v>
      </c>
      <c r="C33" t="s">
        <v>52</v>
      </c>
      <c r="D33">
        <v>11.35</v>
      </c>
      <c r="E33" t="s">
        <v>43</v>
      </c>
      <c r="F33">
        <v>0</v>
      </c>
      <c r="H33">
        <v>0</v>
      </c>
      <c r="I33" t="s">
        <v>19</v>
      </c>
      <c r="J33" t="s">
        <v>16</v>
      </c>
      <c r="K33">
        <v>38</v>
      </c>
      <c r="L33">
        <v>20</v>
      </c>
      <c r="M33" s="25">
        <v>18</v>
      </c>
      <c r="N33" s="26">
        <f t="shared" si="0"/>
        <v>0</v>
      </c>
      <c r="O33" s="26">
        <f t="shared" si="1"/>
        <v>0</v>
      </c>
      <c r="P33" s="26">
        <f t="shared" si="2"/>
        <v>1</v>
      </c>
      <c r="Q33" s="26">
        <f t="shared" si="3"/>
        <v>0</v>
      </c>
      <c r="R33" s="26">
        <v>0</v>
      </c>
      <c r="S33" s="26">
        <v>0</v>
      </c>
    </row>
    <row r="34" spans="1:19">
      <c r="A34">
        <v>2009</v>
      </c>
      <c r="B34" s="1">
        <v>46305</v>
      </c>
      <c r="C34" t="s">
        <v>42</v>
      </c>
      <c r="D34">
        <v>14.5</v>
      </c>
      <c r="E34" t="s">
        <v>30</v>
      </c>
      <c r="F34">
        <v>1</v>
      </c>
      <c r="G34">
        <v>20</v>
      </c>
      <c r="H34">
        <v>0</v>
      </c>
      <c r="I34" t="s">
        <v>19</v>
      </c>
      <c r="J34" t="s">
        <v>16</v>
      </c>
      <c r="K34">
        <v>22</v>
      </c>
      <c r="L34">
        <v>3</v>
      </c>
      <c r="M34" s="25">
        <v>19</v>
      </c>
      <c r="N34" s="26">
        <f t="shared" si="0"/>
        <v>0</v>
      </c>
      <c r="O34" s="26">
        <f t="shared" si="1"/>
        <v>0</v>
      </c>
      <c r="P34" s="26">
        <f t="shared" si="2"/>
        <v>0</v>
      </c>
      <c r="Q34" s="26">
        <f t="shared" si="3"/>
        <v>0</v>
      </c>
      <c r="R34" s="26">
        <v>1</v>
      </c>
      <c r="S34" s="26">
        <v>0</v>
      </c>
    </row>
    <row r="35" spans="1:19">
      <c r="A35">
        <v>2009</v>
      </c>
      <c r="B35" s="1">
        <v>46312</v>
      </c>
      <c r="C35" t="s">
        <v>22</v>
      </c>
      <c r="D35">
        <v>18.75</v>
      </c>
      <c r="E35" t="s">
        <v>54</v>
      </c>
      <c r="F35">
        <v>1</v>
      </c>
      <c r="G35">
        <v>22</v>
      </c>
      <c r="H35">
        <v>0</v>
      </c>
      <c r="I35" t="s">
        <v>15</v>
      </c>
      <c r="J35" t="s">
        <v>16</v>
      </c>
      <c r="K35">
        <v>20</v>
      </c>
      <c r="L35">
        <v>6</v>
      </c>
      <c r="M35" s="25">
        <v>14</v>
      </c>
      <c r="N35" s="26">
        <f t="shared" si="0"/>
        <v>1</v>
      </c>
      <c r="O35" s="26">
        <f t="shared" si="1"/>
        <v>0</v>
      </c>
      <c r="P35" s="26">
        <f t="shared" si="2"/>
        <v>0</v>
      </c>
      <c r="Q35" s="26">
        <f t="shared" si="3"/>
        <v>1</v>
      </c>
      <c r="R35" s="26">
        <v>1</v>
      </c>
      <c r="S35" s="26">
        <v>0</v>
      </c>
    </row>
    <row r="36" spans="1:19">
      <c r="A36">
        <v>2009</v>
      </c>
      <c r="B36" s="1">
        <v>46319</v>
      </c>
      <c r="C36" t="s">
        <v>42</v>
      </c>
      <c r="D36">
        <v>14.5</v>
      </c>
      <c r="E36" t="s">
        <v>31</v>
      </c>
      <c r="F36">
        <v>0</v>
      </c>
      <c r="H36">
        <v>0</v>
      </c>
      <c r="I36" t="s">
        <v>15</v>
      </c>
      <c r="J36" t="s">
        <v>16</v>
      </c>
      <c r="K36">
        <v>12</v>
      </c>
      <c r="L36">
        <v>10</v>
      </c>
      <c r="M36" s="25">
        <v>2</v>
      </c>
      <c r="N36" s="26">
        <f t="shared" si="0"/>
        <v>1</v>
      </c>
      <c r="O36" s="26">
        <f t="shared" si="1"/>
        <v>0</v>
      </c>
      <c r="P36" s="26">
        <f t="shared" si="2"/>
        <v>0</v>
      </c>
      <c r="Q36" s="26">
        <f t="shared" si="3"/>
        <v>0</v>
      </c>
      <c r="R36" s="26">
        <v>0</v>
      </c>
      <c r="S36" s="26">
        <v>0</v>
      </c>
    </row>
    <row r="37" spans="1:19">
      <c r="A37">
        <v>2009</v>
      </c>
      <c r="B37" s="1">
        <v>46333</v>
      </c>
      <c r="C37" t="s">
        <v>42</v>
      </c>
      <c r="D37">
        <v>14.5</v>
      </c>
      <c r="E37" t="s">
        <v>32</v>
      </c>
      <c r="F37">
        <v>1</v>
      </c>
      <c r="G37">
        <v>9</v>
      </c>
      <c r="H37">
        <v>0</v>
      </c>
      <c r="I37" t="s">
        <v>15</v>
      </c>
      <c r="J37" t="s">
        <v>16</v>
      </c>
      <c r="K37">
        <v>24</v>
      </c>
      <c r="L37">
        <v>15</v>
      </c>
      <c r="M37" s="25">
        <v>9</v>
      </c>
      <c r="N37" s="26">
        <f t="shared" si="0"/>
        <v>1</v>
      </c>
      <c r="O37" s="26">
        <f t="shared" si="1"/>
        <v>0</v>
      </c>
      <c r="P37" s="26">
        <f t="shared" si="2"/>
        <v>0</v>
      </c>
      <c r="Q37" s="26">
        <f t="shared" si="3"/>
        <v>0</v>
      </c>
      <c r="R37" s="26">
        <v>1</v>
      </c>
      <c r="S37" s="26">
        <v>0</v>
      </c>
    </row>
    <row r="38" spans="1:19">
      <c r="A38">
        <v>2009</v>
      </c>
      <c r="B38" s="1">
        <v>46340</v>
      </c>
      <c r="C38" t="s">
        <v>13</v>
      </c>
      <c r="D38">
        <v>18</v>
      </c>
      <c r="E38" t="s">
        <v>33</v>
      </c>
      <c r="F38">
        <v>0</v>
      </c>
      <c r="H38">
        <v>0</v>
      </c>
      <c r="I38" t="s">
        <v>19</v>
      </c>
      <c r="J38" t="s">
        <v>16</v>
      </c>
      <c r="K38">
        <v>31</v>
      </c>
      <c r="L38">
        <v>3</v>
      </c>
      <c r="M38" s="25">
        <v>28</v>
      </c>
      <c r="N38" s="26">
        <f t="shared" si="0"/>
        <v>0</v>
      </c>
      <c r="O38" s="26">
        <f t="shared" si="1"/>
        <v>0</v>
      </c>
      <c r="P38" s="26">
        <f t="shared" si="2"/>
        <v>0</v>
      </c>
      <c r="Q38" s="26">
        <f t="shared" si="3"/>
        <v>1</v>
      </c>
      <c r="R38" s="26">
        <v>0</v>
      </c>
      <c r="S38" s="26">
        <v>0</v>
      </c>
    </row>
    <row r="39" spans="1:19">
      <c r="A39">
        <v>2009</v>
      </c>
      <c r="B39" s="1">
        <v>46347</v>
      </c>
      <c r="C39" t="s">
        <v>52</v>
      </c>
      <c r="D39">
        <v>11.35</v>
      </c>
      <c r="E39" t="s">
        <v>55</v>
      </c>
      <c r="F39">
        <v>0</v>
      </c>
      <c r="H39">
        <v>1</v>
      </c>
      <c r="I39" t="s">
        <v>15</v>
      </c>
      <c r="J39" t="s">
        <v>16</v>
      </c>
      <c r="K39">
        <v>45</v>
      </c>
      <c r="L39">
        <v>0</v>
      </c>
      <c r="M39" s="25">
        <v>45</v>
      </c>
      <c r="N39" s="26">
        <f t="shared" si="0"/>
        <v>1</v>
      </c>
      <c r="O39" s="26">
        <f t="shared" si="1"/>
        <v>0</v>
      </c>
      <c r="P39" s="26">
        <f t="shared" si="2"/>
        <v>1</v>
      </c>
      <c r="Q39" s="26">
        <f t="shared" si="3"/>
        <v>0</v>
      </c>
      <c r="R39" s="26">
        <v>0</v>
      </c>
      <c r="S39" s="26">
        <v>1</v>
      </c>
    </row>
    <row r="40" spans="1:19">
      <c r="A40">
        <v>2009</v>
      </c>
      <c r="B40" s="1">
        <v>46353</v>
      </c>
      <c r="C40" t="s">
        <v>34</v>
      </c>
      <c r="D40">
        <v>13.5</v>
      </c>
      <c r="E40" t="s">
        <v>37</v>
      </c>
      <c r="F40">
        <v>0</v>
      </c>
      <c r="H40">
        <v>0</v>
      </c>
      <c r="I40" t="s">
        <v>19</v>
      </c>
      <c r="J40" t="s">
        <v>16</v>
      </c>
      <c r="K40">
        <v>26</v>
      </c>
      <c r="L40">
        <v>21</v>
      </c>
      <c r="M40" s="25">
        <v>5</v>
      </c>
      <c r="N40" s="26">
        <f t="shared" si="0"/>
        <v>0</v>
      </c>
      <c r="O40" s="26">
        <f t="shared" si="1"/>
        <v>0</v>
      </c>
      <c r="P40" s="26">
        <f t="shared" si="2"/>
        <v>0</v>
      </c>
      <c r="Q40" s="26">
        <f t="shared" si="3"/>
        <v>0</v>
      </c>
      <c r="R40" s="26">
        <v>0</v>
      </c>
      <c r="S40" s="26">
        <v>0</v>
      </c>
    </row>
    <row r="41" spans="1:19">
      <c r="A41">
        <v>2009</v>
      </c>
      <c r="B41" s="1">
        <v>46361</v>
      </c>
      <c r="C41" t="s">
        <v>45</v>
      </c>
      <c r="D41">
        <v>15</v>
      </c>
      <c r="E41" t="s">
        <v>46</v>
      </c>
      <c r="F41">
        <v>1</v>
      </c>
      <c r="G41">
        <v>1</v>
      </c>
      <c r="H41">
        <v>0</v>
      </c>
      <c r="I41" t="s">
        <v>27</v>
      </c>
      <c r="J41" t="s">
        <v>16</v>
      </c>
      <c r="K41">
        <v>32</v>
      </c>
      <c r="L41">
        <v>13</v>
      </c>
      <c r="M41" s="25">
        <v>19</v>
      </c>
      <c r="N41" s="26">
        <f t="shared" si="0"/>
        <v>0</v>
      </c>
      <c r="O41" s="26">
        <f t="shared" si="1"/>
        <v>1</v>
      </c>
      <c r="P41" s="26">
        <f t="shared" si="2"/>
        <v>0</v>
      </c>
      <c r="Q41" s="26">
        <f t="shared" si="3"/>
        <v>0</v>
      </c>
      <c r="R41" s="26">
        <v>1</v>
      </c>
      <c r="S41" s="26">
        <v>0</v>
      </c>
    </row>
    <row r="42" spans="1:19">
      <c r="A42">
        <v>2009</v>
      </c>
      <c r="B42" s="2">
        <v>40185</v>
      </c>
      <c r="C42" t="s">
        <v>56</v>
      </c>
      <c r="D42">
        <v>19.649999999999999</v>
      </c>
      <c r="E42" t="s">
        <v>57</v>
      </c>
      <c r="F42">
        <v>1</v>
      </c>
      <c r="G42">
        <v>2</v>
      </c>
      <c r="H42">
        <v>1</v>
      </c>
      <c r="I42" t="s">
        <v>27</v>
      </c>
      <c r="J42" t="s">
        <v>16</v>
      </c>
      <c r="K42">
        <v>37</v>
      </c>
      <c r="L42">
        <v>21</v>
      </c>
      <c r="M42" s="25">
        <v>16</v>
      </c>
      <c r="N42" s="26">
        <f t="shared" si="0"/>
        <v>0</v>
      </c>
      <c r="O42" s="26">
        <f t="shared" si="1"/>
        <v>1</v>
      </c>
      <c r="P42" s="26">
        <f t="shared" si="2"/>
        <v>0</v>
      </c>
      <c r="Q42" s="26">
        <f t="shared" si="3"/>
        <v>1</v>
      </c>
      <c r="R42" s="26">
        <v>1</v>
      </c>
      <c r="S42" s="26">
        <v>1</v>
      </c>
    </row>
    <row r="43" spans="1:19">
      <c r="A43">
        <v>2010</v>
      </c>
      <c r="B43" s="1">
        <v>46269</v>
      </c>
      <c r="C43" t="s">
        <v>13</v>
      </c>
      <c r="D43">
        <v>18</v>
      </c>
      <c r="E43" t="s">
        <v>58</v>
      </c>
      <c r="F43">
        <v>0</v>
      </c>
      <c r="H43">
        <v>1</v>
      </c>
      <c r="I43" t="s">
        <v>15</v>
      </c>
      <c r="J43" t="s">
        <v>16</v>
      </c>
      <c r="K43">
        <v>48</v>
      </c>
      <c r="L43">
        <v>3</v>
      </c>
      <c r="M43" s="25">
        <v>45</v>
      </c>
      <c r="N43" s="26">
        <f t="shared" si="0"/>
        <v>1</v>
      </c>
      <c r="O43" s="26">
        <f t="shared" si="1"/>
        <v>0</v>
      </c>
      <c r="P43" s="26">
        <f t="shared" si="2"/>
        <v>0</v>
      </c>
      <c r="Q43" s="26">
        <f t="shared" si="3"/>
        <v>1</v>
      </c>
      <c r="R43" s="26">
        <v>0</v>
      </c>
      <c r="S43" s="26">
        <v>1</v>
      </c>
    </row>
    <row r="44" spans="1:19">
      <c r="A44">
        <v>2010</v>
      </c>
      <c r="B44" s="1">
        <v>46276</v>
      </c>
      <c r="C44" t="s">
        <v>13</v>
      </c>
      <c r="D44">
        <v>18</v>
      </c>
      <c r="E44" t="s">
        <v>59</v>
      </c>
      <c r="F44">
        <v>1</v>
      </c>
      <c r="G44">
        <v>18</v>
      </c>
      <c r="H44">
        <v>1</v>
      </c>
      <c r="I44" t="s">
        <v>15</v>
      </c>
      <c r="J44" t="s">
        <v>16</v>
      </c>
      <c r="K44">
        <v>24</v>
      </c>
      <c r="L44">
        <v>3</v>
      </c>
      <c r="M44" s="25">
        <v>21</v>
      </c>
      <c r="N44" s="26">
        <f t="shared" si="0"/>
        <v>1</v>
      </c>
      <c r="O44" s="26">
        <f t="shared" si="1"/>
        <v>0</v>
      </c>
      <c r="P44" s="26">
        <f t="shared" si="2"/>
        <v>0</v>
      </c>
      <c r="Q44" s="26">
        <f t="shared" si="3"/>
        <v>1</v>
      </c>
      <c r="R44" s="26">
        <v>1</v>
      </c>
      <c r="S44" s="26">
        <v>1</v>
      </c>
    </row>
    <row r="45" spans="1:19">
      <c r="A45">
        <v>2010</v>
      </c>
      <c r="B45" s="1">
        <v>46283</v>
      </c>
      <c r="C45" t="s">
        <v>42</v>
      </c>
      <c r="D45">
        <v>14.5</v>
      </c>
      <c r="E45" t="s">
        <v>60</v>
      </c>
      <c r="F45">
        <v>0</v>
      </c>
      <c r="H45">
        <v>1</v>
      </c>
      <c r="I45" t="s">
        <v>19</v>
      </c>
      <c r="J45" t="s">
        <v>16</v>
      </c>
      <c r="K45">
        <v>62</v>
      </c>
      <c r="L45">
        <v>13</v>
      </c>
      <c r="M45" s="25">
        <v>49</v>
      </c>
      <c r="N45" s="26">
        <f t="shared" si="0"/>
        <v>0</v>
      </c>
      <c r="O45" s="26">
        <f t="shared" si="1"/>
        <v>0</v>
      </c>
      <c r="P45" s="26">
        <f t="shared" si="2"/>
        <v>0</v>
      </c>
      <c r="Q45" s="26">
        <f t="shared" si="3"/>
        <v>0</v>
      </c>
      <c r="R45" s="26">
        <v>0</v>
      </c>
      <c r="S45" s="26">
        <v>1</v>
      </c>
    </row>
    <row r="46" spans="1:19">
      <c r="A46">
        <v>2010</v>
      </c>
      <c r="B46" s="1">
        <v>46290</v>
      </c>
      <c r="C46" t="s">
        <v>42</v>
      </c>
      <c r="D46">
        <v>14.5</v>
      </c>
      <c r="E46" t="s">
        <v>21</v>
      </c>
      <c r="F46">
        <v>1</v>
      </c>
      <c r="G46">
        <v>10</v>
      </c>
      <c r="H46">
        <v>0</v>
      </c>
      <c r="I46" t="s">
        <v>19</v>
      </c>
      <c r="J46" t="s">
        <v>16</v>
      </c>
      <c r="K46">
        <v>24</v>
      </c>
      <c r="L46">
        <v>20</v>
      </c>
      <c r="M46" s="25">
        <v>4</v>
      </c>
      <c r="N46" s="26">
        <f t="shared" si="0"/>
        <v>0</v>
      </c>
      <c r="O46" s="26">
        <f t="shared" si="1"/>
        <v>0</v>
      </c>
      <c r="P46" s="26">
        <f t="shared" si="2"/>
        <v>0</v>
      </c>
      <c r="Q46" s="26">
        <f t="shared" si="3"/>
        <v>0</v>
      </c>
      <c r="R46" s="26">
        <v>1</v>
      </c>
      <c r="S46" s="26">
        <v>0</v>
      </c>
    </row>
    <row r="47" spans="1:19">
      <c r="A47">
        <v>2010</v>
      </c>
      <c r="B47" s="1">
        <v>46297</v>
      </c>
      <c r="C47" t="s">
        <v>36</v>
      </c>
      <c r="D47">
        <v>19</v>
      </c>
      <c r="E47" t="s">
        <v>46</v>
      </c>
      <c r="F47">
        <v>1</v>
      </c>
      <c r="G47">
        <v>7</v>
      </c>
      <c r="H47">
        <v>0</v>
      </c>
      <c r="I47" t="s">
        <v>15</v>
      </c>
      <c r="J47" t="s">
        <v>16</v>
      </c>
      <c r="K47">
        <v>31</v>
      </c>
      <c r="L47">
        <v>6</v>
      </c>
      <c r="M47" s="25">
        <v>25</v>
      </c>
      <c r="N47" s="26">
        <f t="shared" si="0"/>
        <v>1</v>
      </c>
      <c r="O47" s="26">
        <f t="shared" si="1"/>
        <v>0</v>
      </c>
      <c r="P47" s="26">
        <f t="shared" si="2"/>
        <v>0</v>
      </c>
      <c r="Q47" s="26">
        <f t="shared" si="3"/>
        <v>1</v>
      </c>
      <c r="R47" s="26">
        <v>1</v>
      </c>
      <c r="S47" s="26">
        <v>0</v>
      </c>
    </row>
    <row r="48" spans="1:19">
      <c r="A48">
        <v>2010</v>
      </c>
      <c r="B48" s="1">
        <v>46304</v>
      </c>
      <c r="C48" t="s">
        <v>42</v>
      </c>
      <c r="D48">
        <v>14.5</v>
      </c>
      <c r="E48" t="s">
        <v>54</v>
      </c>
      <c r="F48">
        <v>1</v>
      </c>
      <c r="G48">
        <v>19</v>
      </c>
      <c r="H48">
        <v>0</v>
      </c>
      <c r="I48" t="s">
        <v>19</v>
      </c>
      <c r="J48" t="s">
        <v>24</v>
      </c>
      <c r="K48">
        <v>21</v>
      </c>
      <c r="L48">
        <v>35</v>
      </c>
      <c r="M48" s="25">
        <v>-14</v>
      </c>
      <c r="N48" s="26">
        <f t="shared" si="0"/>
        <v>0</v>
      </c>
      <c r="O48" s="26">
        <f t="shared" si="1"/>
        <v>0</v>
      </c>
      <c r="P48" s="26">
        <f t="shared" si="2"/>
        <v>0</v>
      </c>
      <c r="Q48" s="26">
        <f t="shared" si="3"/>
        <v>0</v>
      </c>
      <c r="R48" s="26">
        <v>1</v>
      </c>
      <c r="S48" s="26">
        <v>0</v>
      </c>
    </row>
    <row r="49" spans="1:19">
      <c r="A49">
        <v>2010</v>
      </c>
      <c r="B49" s="1">
        <v>46311</v>
      </c>
      <c r="C49" t="s">
        <v>61</v>
      </c>
      <c r="D49">
        <v>20.25</v>
      </c>
      <c r="E49" t="s">
        <v>30</v>
      </c>
      <c r="F49">
        <v>0</v>
      </c>
      <c r="H49">
        <v>0</v>
      </c>
      <c r="I49" t="s">
        <v>15</v>
      </c>
      <c r="J49" t="s">
        <v>16</v>
      </c>
      <c r="K49">
        <v>23</v>
      </c>
      <c r="L49">
        <v>10</v>
      </c>
      <c r="M49" s="25">
        <v>13</v>
      </c>
      <c r="N49" s="26">
        <f t="shared" si="0"/>
        <v>1</v>
      </c>
      <c r="O49" s="26">
        <f t="shared" si="1"/>
        <v>0</v>
      </c>
      <c r="P49" s="26">
        <f t="shared" si="2"/>
        <v>0</v>
      </c>
      <c r="Q49" s="26">
        <f t="shared" si="3"/>
        <v>1</v>
      </c>
      <c r="R49" s="26">
        <v>0</v>
      </c>
      <c r="S49" s="26">
        <v>0</v>
      </c>
    </row>
    <row r="50" spans="1:19">
      <c r="A50">
        <v>2010</v>
      </c>
      <c r="B50" s="1">
        <v>46318</v>
      </c>
      <c r="C50" t="s">
        <v>13</v>
      </c>
      <c r="D50">
        <v>18</v>
      </c>
      <c r="E50" t="s">
        <v>31</v>
      </c>
      <c r="F50">
        <v>0</v>
      </c>
      <c r="H50">
        <v>0</v>
      </c>
      <c r="I50" t="s">
        <v>19</v>
      </c>
      <c r="J50" t="s">
        <v>16</v>
      </c>
      <c r="K50">
        <v>41</v>
      </c>
      <c r="L50">
        <v>10</v>
      </c>
      <c r="M50" s="25">
        <v>31</v>
      </c>
      <c r="N50" s="26">
        <f t="shared" si="0"/>
        <v>0</v>
      </c>
      <c r="O50" s="26">
        <f t="shared" si="1"/>
        <v>0</v>
      </c>
      <c r="P50" s="26">
        <f t="shared" si="2"/>
        <v>0</v>
      </c>
      <c r="Q50" s="26">
        <f t="shared" si="3"/>
        <v>1</v>
      </c>
      <c r="R50" s="26">
        <v>0</v>
      </c>
      <c r="S50" s="26">
        <v>0</v>
      </c>
    </row>
    <row r="51" spans="1:19">
      <c r="A51">
        <v>2010</v>
      </c>
      <c r="B51" s="1">
        <v>46332</v>
      </c>
      <c r="C51" t="s">
        <v>42</v>
      </c>
      <c r="D51">
        <v>14.5</v>
      </c>
      <c r="E51" t="s">
        <v>32</v>
      </c>
      <c r="F51">
        <v>1</v>
      </c>
      <c r="G51">
        <v>10</v>
      </c>
      <c r="H51">
        <v>0</v>
      </c>
      <c r="I51" t="s">
        <v>19</v>
      </c>
      <c r="J51" t="s">
        <v>24</v>
      </c>
      <c r="K51">
        <v>21</v>
      </c>
      <c r="L51">
        <v>24</v>
      </c>
      <c r="M51" s="25">
        <v>-3</v>
      </c>
      <c r="N51" s="26">
        <f t="shared" si="0"/>
        <v>0</v>
      </c>
      <c r="O51" s="26">
        <f t="shared" si="1"/>
        <v>0</v>
      </c>
      <c r="P51" s="26">
        <f t="shared" si="2"/>
        <v>0</v>
      </c>
      <c r="Q51" s="26">
        <f t="shared" si="3"/>
        <v>0</v>
      </c>
      <c r="R51" s="26">
        <v>1</v>
      </c>
      <c r="S51" s="26">
        <v>0</v>
      </c>
    </row>
    <row r="52" spans="1:19">
      <c r="A52">
        <v>2010</v>
      </c>
      <c r="B52" s="1">
        <v>46339</v>
      </c>
      <c r="C52" t="s">
        <v>62</v>
      </c>
      <c r="D52">
        <v>18.25</v>
      </c>
      <c r="E52" t="s">
        <v>33</v>
      </c>
      <c r="F52">
        <v>1</v>
      </c>
      <c r="G52">
        <v>17</v>
      </c>
      <c r="H52">
        <v>0</v>
      </c>
      <c r="I52" t="s">
        <v>15</v>
      </c>
      <c r="J52" t="s">
        <v>16</v>
      </c>
      <c r="K52">
        <v>30</v>
      </c>
      <c r="L52">
        <v>10</v>
      </c>
      <c r="M52" s="25">
        <v>20</v>
      </c>
      <c r="N52" s="26">
        <f t="shared" si="0"/>
        <v>1</v>
      </c>
      <c r="O52" s="26">
        <f t="shared" si="1"/>
        <v>0</v>
      </c>
      <c r="P52" s="26">
        <f t="shared" si="2"/>
        <v>0</v>
      </c>
      <c r="Q52" s="26">
        <f t="shared" si="3"/>
        <v>1</v>
      </c>
      <c r="R52" s="26">
        <v>1</v>
      </c>
      <c r="S52" s="26">
        <v>0</v>
      </c>
    </row>
    <row r="53" spans="1:19">
      <c r="A53">
        <v>2010</v>
      </c>
      <c r="B53" s="1">
        <v>46344</v>
      </c>
      <c r="C53" t="s">
        <v>63</v>
      </c>
      <c r="D53">
        <v>18.5</v>
      </c>
      <c r="E53" t="s">
        <v>64</v>
      </c>
      <c r="F53">
        <v>0</v>
      </c>
      <c r="H53">
        <v>1</v>
      </c>
      <c r="I53" t="s">
        <v>15</v>
      </c>
      <c r="J53" t="s">
        <v>16</v>
      </c>
      <c r="K53">
        <v>63</v>
      </c>
      <c r="L53">
        <v>7</v>
      </c>
      <c r="M53" s="25">
        <v>56</v>
      </c>
      <c r="N53" s="26">
        <f t="shared" si="0"/>
        <v>1</v>
      </c>
      <c r="O53" s="26">
        <f t="shared" si="1"/>
        <v>0</v>
      </c>
      <c r="P53" s="26">
        <f t="shared" si="2"/>
        <v>0</v>
      </c>
      <c r="Q53" s="26">
        <f t="shared" si="3"/>
        <v>1</v>
      </c>
      <c r="R53" s="26">
        <v>0</v>
      </c>
      <c r="S53" s="26">
        <v>1</v>
      </c>
    </row>
    <row r="54" spans="1:19">
      <c r="A54">
        <v>2010</v>
      </c>
      <c r="B54" s="1">
        <v>46352</v>
      </c>
      <c r="C54" t="s">
        <v>34</v>
      </c>
      <c r="D54">
        <v>13.5</v>
      </c>
      <c r="E54" t="s">
        <v>37</v>
      </c>
      <c r="F54">
        <v>1</v>
      </c>
      <c r="G54">
        <v>2</v>
      </c>
      <c r="H54">
        <v>0</v>
      </c>
      <c r="I54" t="s">
        <v>15</v>
      </c>
      <c r="J54" t="s">
        <v>24</v>
      </c>
      <c r="K54">
        <v>27</v>
      </c>
      <c r="L54">
        <v>28</v>
      </c>
      <c r="M54" s="25">
        <v>-1</v>
      </c>
      <c r="N54" s="26">
        <f t="shared" si="0"/>
        <v>1</v>
      </c>
      <c r="O54" s="26">
        <f t="shared" si="1"/>
        <v>0</v>
      </c>
      <c r="P54" s="26">
        <f t="shared" si="2"/>
        <v>0</v>
      </c>
      <c r="Q54" s="26">
        <f t="shared" si="3"/>
        <v>0</v>
      </c>
      <c r="R54" s="26">
        <v>1</v>
      </c>
      <c r="S54" s="26">
        <v>0</v>
      </c>
    </row>
    <row r="55" spans="1:19">
      <c r="A55">
        <v>2010</v>
      </c>
      <c r="B55" s="2">
        <v>40544</v>
      </c>
      <c r="C55" t="s">
        <v>65</v>
      </c>
      <c r="D55">
        <v>12</v>
      </c>
      <c r="E55" t="s">
        <v>66</v>
      </c>
      <c r="F55">
        <v>1</v>
      </c>
      <c r="G55">
        <v>7</v>
      </c>
      <c r="H55">
        <v>1</v>
      </c>
      <c r="I55" t="s">
        <v>27</v>
      </c>
      <c r="J55" t="s">
        <v>16</v>
      </c>
      <c r="K55">
        <v>49</v>
      </c>
      <c r="L55">
        <v>7</v>
      </c>
      <c r="M55" s="25">
        <v>42</v>
      </c>
      <c r="N55" s="26">
        <f t="shared" si="0"/>
        <v>0</v>
      </c>
      <c r="O55" s="26">
        <f t="shared" si="1"/>
        <v>1</v>
      </c>
      <c r="P55" s="26">
        <f t="shared" si="2"/>
        <v>0</v>
      </c>
      <c r="Q55" s="26">
        <f t="shared" si="3"/>
        <v>0</v>
      </c>
      <c r="R55" s="26">
        <v>1</v>
      </c>
      <c r="S55" s="26">
        <v>1</v>
      </c>
    </row>
    <row r="56" spans="1:19">
      <c r="A56">
        <v>2011</v>
      </c>
      <c r="B56" s="1">
        <v>46268</v>
      </c>
      <c r="C56" t="s">
        <v>52</v>
      </c>
      <c r="D56">
        <v>11.35</v>
      </c>
      <c r="E56" t="s">
        <v>67</v>
      </c>
      <c r="F56">
        <v>0</v>
      </c>
      <c r="H56">
        <v>1</v>
      </c>
      <c r="I56" t="s">
        <v>15</v>
      </c>
      <c r="J56" t="s">
        <v>16</v>
      </c>
      <c r="K56">
        <v>48</v>
      </c>
      <c r="L56">
        <v>7</v>
      </c>
      <c r="M56" s="25">
        <v>41</v>
      </c>
      <c r="N56" s="26">
        <f t="shared" si="0"/>
        <v>1</v>
      </c>
      <c r="O56" s="26">
        <f t="shared" si="1"/>
        <v>0</v>
      </c>
      <c r="P56" s="26">
        <f t="shared" si="2"/>
        <v>1</v>
      </c>
      <c r="Q56" s="26">
        <f t="shared" si="3"/>
        <v>0</v>
      </c>
      <c r="R56" s="26">
        <v>0</v>
      </c>
      <c r="S56" s="26">
        <v>1</v>
      </c>
    </row>
    <row r="57" spans="1:19">
      <c r="A57">
        <v>2011</v>
      </c>
      <c r="B57" s="1">
        <v>46275</v>
      </c>
      <c r="C57" t="s">
        <v>42</v>
      </c>
      <c r="D57">
        <v>14.5</v>
      </c>
      <c r="E57" t="s">
        <v>59</v>
      </c>
      <c r="F57">
        <v>1</v>
      </c>
      <c r="G57">
        <v>23</v>
      </c>
      <c r="H57">
        <v>1</v>
      </c>
      <c r="I57" t="s">
        <v>19</v>
      </c>
      <c r="J57" t="s">
        <v>16</v>
      </c>
      <c r="K57">
        <v>27</v>
      </c>
      <c r="L57">
        <v>11</v>
      </c>
      <c r="M57" s="25">
        <v>16</v>
      </c>
      <c r="N57" s="26">
        <f t="shared" si="0"/>
        <v>0</v>
      </c>
      <c r="O57" s="26">
        <f t="shared" si="1"/>
        <v>0</v>
      </c>
      <c r="P57" s="26">
        <f t="shared" si="2"/>
        <v>0</v>
      </c>
      <c r="Q57" s="26">
        <f t="shared" si="3"/>
        <v>0</v>
      </c>
      <c r="R57" s="26">
        <v>1</v>
      </c>
      <c r="S57" s="26">
        <v>1</v>
      </c>
    </row>
    <row r="58" spans="1:19">
      <c r="A58">
        <v>2011</v>
      </c>
      <c r="B58" s="1">
        <v>46282</v>
      </c>
      <c r="C58" t="s">
        <v>63</v>
      </c>
      <c r="D58">
        <v>18.5</v>
      </c>
      <c r="E58" t="s">
        <v>53</v>
      </c>
      <c r="F58">
        <v>0</v>
      </c>
      <c r="H58">
        <v>1</v>
      </c>
      <c r="I58" t="s">
        <v>15</v>
      </c>
      <c r="J58" t="s">
        <v>16</v>
      </c>
      <c r="K58">
        <v>41</v>
      </c>
      <c r="L58">
        <v>0</v>
      </c>
      <c r="M58" s="25">
        <v>41</v>
      </c>
      <c r="N58" s="26">
        <f t="shared" si="0"/>
        <v>1</v>
      </c>
      <c r="O58" s="26">
        <f t="shared" si="1"/>
        <v>0</v>
      </c>
      <c r="P58" s="26">
        <f t="shared" si="2"/>
        <v>0</v>
      </c>
      <c r="Q58" s="26">
        <f t="shared" si="3"/>
        <v>1</v>
      </c>
      <c r="R58" s="26">
        <v>0</v>
      </c>
      <c r="S58" s="26">
        <v>1</v>
      </c>
    </row>
    <row r="59" spans="1:19">
      <c r="A59">
        <v>2011</v>
      </c>
      <c r="B59" s="1">
        <v>46289</v>
      </c>
      <c r="C59" t="s">
        <v>42</v>
      </c>
      <c r="D59">
        <v>14.5</v>
      </c>
      <c r="E59" t="s">
        <v>21</v>
      </c>
      <c r="F59">
        <v>1</v>
      </c>
      <c r="G59">
        <v>14</v>
      </c>
      <c r="H59">
        <v>0</v>
      </c>
      <c r="I59" t="s">
        <v>15</v>
      </c>
      <c r="J59" t="s">
        <v>16</v>
      </c>
      <c r="K59">
        <v>38</v>
      </c>
      <c r="L59">
        <v>14</v>
      </c>
      <c r="M59" s="25">
        <v>24</v>
      </c>
      <c r="N59" s="26">
        <f t="shared" si="0"/>
        <v>1</v>
      </c>
      <c r="O59" s="26">
        <f t="shared" si="1"/>
        <v>0</v>
      </c>
      <c r="P59" s="26">
        <f t="shared" si="2"/>
        <v>0</v>
      </c>
      <c r="Q59" s="26">
        <f t="shared" si="3"/>
        <v>0</v>
      </c>
      <c r="R59" s="26">
        <v>1</v>
      </c>
      <c r="S59" s="26">
        <v>0</v>
      </c>
    </row>
    <row r="60" spans="1:19">
      <c r="A60">
        <v>2011</v>
      </c>
      <c r="B60" s="1">
        <v>46296</v>
      </c>
      <c r="C60" t="s">
        <v>36</v>
      </c>
      <c r="D60">
        <v>19</v>
      </c>
      <c r="E60" t="s">
        <v>46</v>
      </c>
      <c r="F60">
        <v>1</v>
      </c>
      <c r="G60">
        <v>12</v>
      </c>
      <c r="H60">
        <v>0</v>
      </c>
      <c r="I60" t="s">
        <v>19</v>
      </c>
      <c r="J60" t="s">
        <v>16</v>
      </c>
      <c r="K60">
        <v>38</v>
      </c>
      <c r="L60">
        <v>10</v>
      </c>
      <c r="M60" s="25">
        <v>28</v>
      </c>
      <c r="N60" s="26">
        <f t="shared" si="0"/>
        <v>0</v>
      </c>
      <c r="O60" s="26">
        <f t="shared" si="1"/>
        <v>0</v>
      </c>
      <c r="P60" s="26">
        <f t="shared" si="2"/>
        <v>0</v>
      </c>
      <c r="Q60" s="26">
        <f t="shared" si="3"/>
        <v>1</v>
      </c>
      <c r="R60" s="26">
        <v>1</v>
      </c>
      <c r="S60" s="26">
        <v>0</v>
      </c>
    </row>
    <row r="61" spans="1:19">
      <c r="A61">
        <v>2011</v>
      </c>
      <c r="B61" s="1">
        <v>46303</v>
      </c>
      <c r="C61" t="s">
        <v>13</v>
      </c>
      <c r="D61">
        <v>18</v>
      </c>
      <c r="E61" t="s">
        <v>18</v>
      </c>
      <c r="F61">
        <v>0</v>
      </c>
      <c r="H61">
        <v>0</v>
      </c>
      <c r="I61" t="s">
        <v>15</v>
      </c>
      <c r="J61" t="s">
        <v>16</v>
      </c>
      <c r="K61">
        <v>34</v>
      </c>
      <c r="L61">
        <v>0</v>
      </c>
      <c r="M61" s="25">
        <v>34</v>
      </c>
      <c r="N61" s="26">
        <f t="shared" si="0"/>
        <v>1</v>
      </c>
      <c r="O61" s="26">
        <f t="shared" si="1"/>
        <v>0</v>
      </c>
      <c r="P61" s="26">
        <f t="shared" si="2"/>
        <v>0</v>
      </c>
      <c r="Q61" s="26">
        <f t="shared" si="3"/>
        <v>1</v>
      </c>
      <c r="R61" s="26">
        <v>0</v>
      </c>
      <c r="S61" s="26">
        <v>0</v>
      </c>
    </row>
    <row r="62" spans="1:19">
      <c r="A62">
        <v>2011</v>
      </c>
      <c r="B62" s="1">
        <v>46310</v>
      </c>
      <c r="C62" t="s">
        <v>68</v>
      </c>
      <c r="D62">
        <v>17</v>
      </c>
      <c r="E62" t="s">
        <v>30</v>
      </c>
      <c r="F62">
        <v>0</v>
      </c>
      <c r="H62">
        <v>0</v>
      </c>
      <c r="I62" t="s">
        <v>19</v>
      </c>
      <c r="J62" t="s">
        <v>16</v>
      </c>
      <c r="K62">
        <v>52</v>
      </c>
      <c r="L62">
        <v>7</v>
      </c>
      <c r="M62" s="25">
        <v>45</v>
      </c>
      <c r="N62" s="26">
        <f t="shared" si="0"/>
        <v>0</v>
      </c>
      <c r="O62" s="26">
        <f t="shared" si="1"/>
        <v>0</v>
      </c>
      <c r="P62" s="26">
        <f t="shared" si="2"/>
        <v>0</v>
      </c>
      <c r="Q62" s="26">
        <f t="shared" si="3"/>
        <v>1</v>
      </c>
      <c r="R62" s="26">
        <v>0</v>
      </c>
      <c r="S62" s="26">
        <v>0</v>
      </c>
    </row>
    <row r="63" spans="1:19">
      <c r="A63">
        <v>2011</v>
      </c>
      <c r="B63" s="1">
        <v>46317</v>
      </c>
      <c r="C63" t="s">
        <v>13</v>
      </c>
      <c r="D63">
        <v>18</v>
      </c>
      <c r="E63" t="s">
        <v>31</v>
      </c>
      <c r="F63">
        <v>0</v>
      </c>
      <c r="H63">
        <v>0</v>
      </c>
      <c r="I63" t="s">
        <v>15</v>
      </c>
      <c r="J63" t="s">
        <v>16</v>
      </c>
      <c r="K63">
        <v>37</v>
      </c>
      <c r="L63">
        <v>6</v>
      </c>
      <c r="M63" s="25">
        <v>31</v>
      </c>
      <c r="N63" s="26">
        <f t="shared" si="0"/>
        <v>1</v>
      </c>
      <c r="O63" s="26">
        <f t="shared" si="1"/>
        <v>0</v>
      </c>
      <c r="P63" s="26">
        <f t="shared" si="2"/>
        <v>0</v>
      </c>
      <c r="Q63" s="26">
        <f t="shared" si="3"/>
        <v>1</v>
      </c>
      <c r="R63" s="26">
        <v>0</v>
      </c>
      <c r="S63" s="26">
        <v>0</v>
      </c>
    </row>
    <row r="64" spans="1:19">
      <c r="A64">
        <v>2011</v>
      </c>
      <c r="B64" s="1">
        <v>46331</v>
      </c>
      <c r="C64" t="s">
        <v>36</v>
      </c>
      <c r="D64">
        <v>19</v>
      </c>
      <c r="E64" t="s">
        <v>32</v>
      </c>
      <c r="F64">
        <v>1</v>
      </c>
      <c r="G64">
        <v>1</v>
      </c>
      <c r="H64">
        <v>0</v>
      </c>
      <c r="I64" t="s">
        <v>15</v>
      </c>
      <c r="J64" t="s">
        <v>24</v>
      </c>
      <c r="K64">
        <v>6</v>
      </c>
      <c r="L64">
        <v>9</v>
      </c>
      <c r="M64" s="25">
        <v>-3</v>
      </c>
      <c r="N64" s="26">
        <f t="shared" si="0"/>
        <v>1</v>
      </c>
      <c r="O64" s="26">
        <f t="shared" si="1"/>
        <v>0</v>
      </c>
      <c r="P64" s="26">
        <f t="shared" si="2"/>
        <v>0</v>
      </c>
      <c r="Q64" s="26">
        <f t="shared" si="3"/>
        <v>1</v>
      </c>
      <c r="R64" s="26">
        <v>1</v>
      </c>
      <c r="S64" s="26">
        <v>0</v>
      </c>
    </row>
    <row r="65" spans="1:19">
      <c r="A65">
        <v>2011</v>
      </c>
      <c r="B65" s="1">
        <v>46338</v>
      </c>
      <c r="C65" t="s">
        <v>22</v>
      </c>
      <c r="D65">
        <v>18.75</v>
      </c>
      <c r="E65" t="s">
        <v>33</v>
      </c>
      <c r="F65">
        <v>0</v>
      </c>
      <c r="H65">
        <v>0</v>
      </c>
      <c r="I65" t="s">
        <v>19</v>
      </c>
      <c r="J65" t="s">
        <v>16</v>
      </c>
      <c r="K65">
        <v>24</v>
      </c>
      <c r="L65">
        <v>7</v>
      </c>
      <c r="M65" s="25">
        <v>17</v>
      </c>
      <c r="N65" s="26">
        <f t="shared" si="0"/>
        <v>0</v>
      </c>
      <c r="O65" s="26">
        <f t="shared" si="1"/>
        <v>0</v>
      </c>
      <c r="P65" s="26">
        <f t="shared" si="2"/>
        <v>0</v>
      </c>
      <c r="Q65" s="26">
        <f t="shared" si="3"/>
        <v>1</v>
      </c>
      <c r="R65" s="26">
        <v>0</v>
      </c>
      <c r="S65" s="26">
        <v>0</v>
      </c>
    </row>
    <row r="66" spans="1:19">
      <c r="A66">
        <v>2011</v>
      </c>
      <c r="B66" s="1">
        <v>46345</v>
      </c>
      <c r="C66" t="s">
        <v>69</v>
      </c>
      <c r="D66">
        <v>13</v>
      </c>
      <c r="E66" t="s">
        <v>70</v>
      </c>
      <c r="F66">
        <v>1</v>
      </c>
      <c r="G66">
        <v>3</v>
      </c>
      <c r="H66">
        <v>1</v>
      </c>
      <c r="I66" t="s">
        <v>15</v>
      </c>
      <c r="J66" t="s">
        <v>16</v>
      </c>
      <c r="K66">
        <v>45</v>
      </c>
      <c r="L66">
        <v>21</v>
      </c>
      <c r="M66" s="25">
        <v>24</v>
      </c>
      <c r="N66" s="26">
        <f t="shared" si="0"/>
        <v>1</v>
      </c>
      <c r="O66" s="26">
        <f t="shared" si="1"/>
        <v>0</v>
      </c>
      <c r="P66" s="26">
        <f t="shared" si="2"/>
        <v>0</v>
      </c>
      <c r="Q66" s="26">
        <f t="shared" si="3"/>
        <v>0</v>
      </c>
      <c r="R66" s="26">
        <v>1</v>
      </c>
      <c r="S66" s="26">
        <v>1</v>
      </c>
    </row>
    <row r="67" spans="1:19">
      <c r="A67">
        <v>2011</v>
      </c>
      <c r="B67" s="1">
        <v>46352</v>
      </c>
      <c r="C67" t="s">
        <v>42</v>
      </c>
      <c r="D67">
        <v>14.5</v>
      </c>
      <c r="E67" t="s">
        <v>37</v>
      </c>
      <c r="F67">
        <v>1</v>
      </c>
      <c r="G67">
        <v>24</v>
      </c>
      <c r="H67">
        <v>0</v>
      </c>
      <c r="I67" t="s">
        <v>19</v>
      </c>
      <c r="J67" t="s">
        <v>16</v>
      </c>
      <c r="K67">
        <v>42</v>
      </c>
      <c r="L67">
        <v>14</v>
      </c>
      <c r="M67" s="25">
        <v>28</v>
      </c>
      <c r="N67" s="26">
        <f t="shared" ref="N67:N130" si="4">IF(I67="home",1,0)</f>
        <v>0</v>
      </c>
      <c r="O67" s="26">
        <f t="shared" ref="O67:O130" si="5">IF(I67="neutral",1,0)</f>
        <v>0</v>
      </c>
      <c r="P67" s="26">
        <f t="shared" ref="P67:P130" si="6">IF(D67&lt;12,1,0)</f>
        <v>0</v>
      </c>
      <c r="Q67" s="26">
        <f t="shared" ref="Q67:Q130" si="7">IF(D67&gt;=17,1,0)</f>
        <v>0</v>
      </c>
      <c r="R67" s="26">
        <v>1</v>
      </c>
      <c r="S67" s="26">
        <v>0</v>
      </c>
    </row>
    <row r="68" spans="1:19">
      <c r="A68">
        <v>2011</v>
      </c>
      <c r="B68" s="2">
        <v>40917</v>
      </c>
      <c r="C68" t="s">
        <v>71</v>
      </c>
      <c r="D68">
        <v>19.5</v>
      </c>
      <c r="E68" t="s">
        <v>32</v>
      </c>
      <c r="F68">
        <v>1</v>
      </c>
      <c r="G68">
        <v>1</v>
      </c>
      <c r="H68">
        <v>0</v>
      </c>
      <c r="I68" t="s">
        <v>27</v>
      </c>
      <c r="J68" t="s">
        <v>16</v>
      </c>
      <c r="K68">
        <v>21</v>
      </c>
      <c r="L68">
        <v>0</v>
      </c>
      <c r="M68" s="25">
        <v>21</v>
      </c>
      <c r="N68" s="26">
        <f t="shared" si="4"/>
        <v>0</v>
      </c>
      <c r="O68" s="26">
        <f t="shared" si="5"/>
        <v>1</v>
      </c>
      <c r="P68" s="26">
        <f t="shared" si="6"/>
        <v>0</v>
      </c>
      <c r="Q68" s="26">
        <f t="shared" si="7"/>
        <v>1</v>
      </c>
      <c r="R68" s="26">
        <v>1</v>
      </c>
      <c r="S68" s="26">
        <v>0</v>
      </c>
    </row>
    <row r="69" spans="1:19">
      <c r="A69">
        <v>2012</v>
      </c>
      <c r="B69" s="1">
        <v>46266</v>
      </c>
      <c r="C69" t="s">
        <v>36</v>
      </c>
      <c r="D69">
        <v>19</v>
      </c>
      <c r="E69" t="s">
        <v>72</v>
      </c>
      <c r="F69">
        <v>1</v>
      </c>
      <c r="G69">
        <v>8</v>
      </c>
      <c r="H69">
        <v>1</v>
      </c>
      <c r="I69" t="s">
        <v>27</v>
      </c>
      <c r="J69" t="s">
        <v>16</v>
      </c>
      <c r="K69">
        <v>41</v>
      </c>
      <c r="L69">
        <v>14</v>
      </c>
      <c r="M69" s="25">
        <v>27</v>
      </c>
      <c r="N69" s="26">
        <f t="shared" si="4"/>
        <v>0</v>
      </c>
      <c r="O69" s="26">
        <f t="shared" si="5"/>
        <v>1</v>
      </c>
      <c r="P69" s="26">
        <f t="shared" si="6"/>
        <v>0</v>
      </c>
      <c r="Q69" s="26">
        <f t="shared" si="7"/>
        <v>1</v>
      </c>
      <c r="R69" s="26">
        <v>1</v>
      </c>
      <c r="S69" s="26">
        <v>1</v>
      </c>
    </row>
    <row r="70" spans="1:19">
      <c r="A70">
        <v>2012</v>
      </c>
      <c r="B70" s="1">
        <v>46273</v>
      </c>
      <c r="C70" t="s">
        <v>42</v>
      </c>
      <c r="D70">
        <v>14.5</v>
      </c>
      <c r="E70" t="s">
        <v>41</v>
      </c>
      <c r="F70">
        <v>0</v>
      </c>
      <c r="H70">
        <v>1</v>
      </c>
      <c r="I70" t="s">
        <v>15</v>
      </c>
      <c r="J70" t="s">
        <v>16</v>
      </c>
      <c r="K70">
        <v>35</v>
      </c>
      <c r="L70">
        <v>0</v>
      </c>
      <c r="M70" s="25">
        <v>35</v>
      </c>
      <c r="N70" s="26">
        <f t="shared" si="4"/>
        <v>1</v>
      </c>
      <c r="O70" s="26">
        <f t="shared" si="5"/>
        <v>0</v>
      </c>
      <c r="P70" s="26">
        <f t="shared" si="6"/>
        <v>0</v>
      </c>
      <c r="Q70" s="26">
        <f t="shared" si="7"/>
        <v>0</v>
      </c>
      <c r="R70" s="26">
        <v>0</v>
      </c>
      <c r="S70" s="26">
        <v>1</v>
      </c>
    </row>
    <row r="71" spans="1:19">
      <c r="A71">
        <v>2012</v>
      </c>
      <c r="B71" s="1">
        <v>46280</v>
      </c>
      <c r="C71" t="s">
        <v>42</v>
      </c>
      <c r="D71">
        <v>14.5</v>
      </c>
      <c r="E71" t="s">
        <v>21</v>
      </c>
      <c r="F71">
        <v>0</v>
      </c>
      <c r="H71">
        <v>0</v>
      </c>
      <c r="I71" t="s">
        <v>19</v>
      </c>
      <c r="J71" t="s">
        <v>16</v>
      </c>
      <c r="K71">
        <v>52</v>
      </c>
      <c r="L71">
        <v>0</v>
      </c>
      <c r="M71" s="25">
        <v>52</v>
      </c>
      <c r="N71" s="26">
        <f t="shared" si="4"/>
        <v>0</v>
      </c>
      <c r="O71" s="26">
        <f t="shared" si="5"/>
        <v>0</v>
      </c>
      <c r="P71" s="26">
        <f t="shared" si="6"/>
        <v>0</v>
      </c>
      <c r="Q71" s="26">
        <f t="shared" si="7"/>
        <v>0</v>
      </c>
      <c r="R71" s="26">
        <v>0</v>
      </c>
      <c r="S71" s="26">
        <v>0</v>
      </c>
    </row>
    <row r="72" spans="1:19">
      <c r="A72">
        <v>2012</v>
      </c>
      <c r="B72" s="1">
        <v>46287</v>
      </c>
      <c r="C72" t="s">
        <v>25</v>
      </c>
      <c r="D72">
        <v>16</v>
      </c>
      <c r="E72" t="s">
        <v>73</v>
      </c>
      <c r="F72">
        <v>0</v>
      </c>
      <c r="H72">
        <v>1</v>
      </c>
      <c r="I72" t="s">
        <v>15</v>
      </c>
      <c r="J72" t="s">
        <v>16</v>
      </c>
      <c r="K72">
        <v>40</v>
      </c>
      <c r="L72">
        <v>7</v>
      </c>
      <c r="M72" s="25">
        <v>33</v>
      </c>
      <c r="N72" s="26">
        <f t="shared" si="4"/>
        <v>1</v>
      </c>
      <c r="O72" s="26">
        <f t="shared" si="5"/>
        <v>0</v>
      </c>
      <c r="P72" s="26">
        <f t="shared" si="6"/>
        <v>0</v>
      </c>
      <c r="Q72" s="26">
        <f t="shared" si="7"/>
        <v>0</v>
      </c>
      <c r="R72" s="26">
        <v>0</v>
      </c>
      <c r="S72" s="26">
        <v>1</v>
      </c>
    </row>
    <row r="73" spans="1:19">
      <c r="A73">
        <v>2012</v>
      </c>
      <c r="B73" s="1">
        <v>46294</v>
      </c>
      <c r="C73" t="s">
        <v>61</v>
      </c>
      <c r="D73">
        <v>20.25</v>
      </c>
      <c r="E73" t="s">
        <v>30</v>
      </c>
      <c r="F73">
        <v>0</v>
      </c>
      <c r="H73">
        <v>0</v>
      </c>
      <c r="I73" t="s">
        <v>15</v>
      </c>
      <c r="J73" t="s">
        <v>16</v>
      </c>
      <c r="K73">
        <v>33</v>
      </c>
      <c r="L73">
        <v>14</v>
      </c>
      <c r="M73" s="25">
        <v>19</v>
      </c>
      <c r="N73" s="26">
        <f t="shared" si="4"/>
        <v>1</v>
      </c>
      <c r="O73" s="26">
        <f t="shared" si="5"/>
        <v>0</v>
      </c>
      <c r="P73" s="26">
        <f t="shared" si="6"/>
        <v>0</v>
      </c>
      <c r="Q73" s="26">
        <f t="shared" si="7"/>
        <v>1</v>
      </c>
      <c r="R73" s="26">
        <v>0</v>
      </c>
      <c r="S73" s="26">
        <v>0</v>
      </c>
    </row>
    <row r="74" spans="1:19">
      <c r="A74">
        <v>2012</v>
      </c>
      <c r="B74" s="1">
        <v>46308</v>
      </c>
      <c r="C74" t="s">
        <v>42</v>
      </c>
      <c r="D74">
        <v>14.5</v>
      </c>
      <c r="E74" t="s">
        <v>74</v>
      </c>
      <c r="F74">
        <v>0</v>
      </c>
      <c r="H74">
        <v>0</v>
      </c>
      <c r="I74" t="s">
        <v>19</v>
      </c>
      <c r="J74" t="s">
        <v>16</v>
      </c>
      <c r="K74">
        <v>42</v>
      </c>
      <c r="L74">
        <v>10</v>
      </c>
      <c r="M74" s="25">
        <v>32</v>
      </c>
      <c r="N74" s="26">
        <f t="shared" si="4"/>
        <v>0</v>
      </c>
      <c r="O74" s="26">
        <f t="shared" si="5"/>
        <v>0</v>
      </c>
      <c r="P74" s="26">
        <f t="shared" si="6"/>
        <v>0</v>
      </c>
      <c r="Q74" s="26">
        <f t="shared" si="7"/>
        <v>0</v>
      </c>
      <c r="R74" s="26">
        <v>0</v>
      </c>
      <c r="S74" s="26">
        <v>0</v>
      </c>
    </row>
    <row r="75" spans="1:19">
      <c r="A75">
        <v>2012</v>
      </c>
      <c r="B75" s="1">
        <v>46315</v>
      </c>
      <c r="C75" t="s">
        <v>13</v>
      </c>
      <c r="D75">
        <v>18</v>
      </c>
      <c r="E75" t="s">
        <v>31</v>
      </c>
      <c r="F75">
        <v>0</v>
      </c>
      <c r="H75">
        <v>0</v>
      </c>
      <c r="I75" t="s">
        <v>19</v>
      </c>
      <c r="J75" t="s">
        <v>16</v>
      </c>
      <c r="K75">
        <v>44</v>
      </c>
      <c r="L75">
        <v>13</v>
      </c>
      <c r="M75" s="25">
        <v>31</v>
      </c>
      <c r="N75" s="26">
        <f t="shared" si="4"/>
        <v>0</v>
      </c>
      <c r="O75" s="26">
        <f t="shared" si="5"/>
        <v>0</v>
      </c>
      <c r="P75" s="26">
        <f t="shared" si="6"/>
        <v>0</v>
      </c>
      <c r="Q75" s="26">
        <f t="shared" si="7"/>
        <v>1</v>
      </c>
      <c r="R75" s="26">
        <v>0</v>
      </c>
      <c r="S75" s="26">
        <v>0</v>
      </c>
    </row>
    <row r="76" spans="1:19">
      <c r="A76">
        <v>2012</v>
      </c>
      <c r="B76" s="1">
        <v>46322</v>
      </c>
      <c r="C76" t="s">
        <v>75</v>
      </c>
      <c r="D76">
        <v>19.75</v>
      </c>
      <c r="E76" t="s">
        <v>33</v>
      </c>
      <c r="F76">
        <v>1</v>
      </c>
      <c r="G76">
        <v>11</v>
      </c>
      <c r="H76">
        <v>0</v>
      </c>
      <c r="I76" t="s">
        <v>15</v>
      </c>
      <c r="J76" t="s">
        <v>16</v>
      </c>
      <c r="K76">
        <v>38</v>
      </c>
      <c r="L76">
        <v>7</v>
      </c>
      <c r="M76" s="25">
        <v>31</v>
      </c>
      <c r="N76" s="26">
        <f t="shared" si="4"/>
        <v>1</v>
      </c>
      <c r="O76" s="26">
        <f t="shared" si="5"/>
        <v>0</v>
      </c>
      <c r="P76" s="26">
        <f t="shared" si="6"/>
        <v>0</v>
      </c>
      <c r="Q76" s="26">
        <f t="shared" si="7"/>
        <v>1</v>
      </c>
      <c r="R76" s="26">
        <v>1</v>
      </c>
      <c r="S76" s="26">
        <v>0</v>
      </c>
    </row>
    <row r="77" spans="1:19">
      <c r="A77">
        <v>2012</v>
      </c>
      <c r="B77" s="1">
        <v>46329</v>
      </c>
      <c r="C77" t="s">
        <v>36</v>
      </c>
      <c r="D77">
        <v>19</v>
      </c>
      <c r="E77" t="s">
        <v>32</v>
      </c>
      <c r="F77">
        <v>1</v>
      </c>
      <c r="G77">
        <v>5</v>
      </c>
      <c r="H77">
        <v>0</v>
      </c>
      <c r="I77" t="s">
        <v>19</v>
      </c>
      <c r="J77" t="s">
        <v>16</v>
      </c>
      <c r="K77">
        <v>21</v>
      </c>
      <c r="L77">
        <v>17</v>
      </c>
      <c r="M77" s="25">
        <v>4</v>
      </c>
      <c r="N77" s="26">
        <f t="shared" si="4"/>
        <v>0</v>
      </c>
      <c r="O77" s="26">
        <f t="shared" si="5"/>
        <v>0</v>
      </c>
      <c r="P77" s="26">
        <f t="shared" si="6"/>
        <v>0</v>
      </c>
      <c r="Q77" s="26">
        <f t="shared" si="7"/>
        <v>1</v>
      </c>
      <c r="R77" s="26">
        <v>1</v>
      </c>
      <c r="S77" s="26">
        <v>0</v>
      </c>
    </row>
    <row r="78" spans="1:19">
      <c r="A78">
        <v>2012</v>
      </c>
      <c r="B78" s="1">
        <v>46336</v>
      </c>
      <c r="C78" t="s">
        <v>42</v>
      </c>
      <c r="D78">
        <v>14.5</v>
      </c>
      <c r="E78" t="s">
        <v>76</v>
      </c>
      <c r="F78">
        <v>1</v>
      </c>
      <c r="G78">
        <v>15</v>
      </c>
      <c r="H78">
        <v>0</v>
      </c>
      <c r="I78" t="s">
        <v>15</v>
      </c>
      <c r="J78" t="s">
        <v>24</v>
      </c>
      <c r="K78">
        <v>24</v>
      </c>
      <c r="L78">
        <v>29</v>
      </c>
      <c r="M78" s="25">
        <v>-5</v>
      </c>
      <c r="N78" s="26">
        <f t="shared" si="4"/>
        <v>1</v>
      </c>
      <c r="O78" s="26">
        <f t="shared" si="5"/>
        <v>0</v>
      </c>
      <c r="P78" s="26">
        <f t="shared" si="6"/>
        <v>0</v>
      </c>
      <c r="Q78" s="26">
        <f t="shared" si="7"/>
        <v>0</v>
      </c>
      <c r="R78" s="26">
        <v>1</v>
      </c>
      <c r="S78" s="26">
        <v>0</v>
      </c>
    </row>
    <row r="79" spans="1:19">
      <c r="A79">
        <v>2012</v>
      </c>
      <c r="B79" s="1">
        <v>46343</v>
      </c>
      <c r="C79" t="s">
        <v>52</v>
      </c>
      <c r="D79">
        <v>11.35</v>
      </c>
      <c r="E79" t="s">
        <v>14</v>
      </c>
      <c r="F79">
        <v>0</v>
      </c>
      <c r="H79">
        <v>1</v>
      </c>
      <c r="I79" t="s">
        <v>15</v>
      </c>
      <c r="J79" t="s">
        <v>16</v>
      </c>
      <c r="K79">
        <v>49</v>
      </c>
      <c r="L79">
        <v>0</v>
      </c>
      <c r="M79" s="25">
        <v>49</v>
      </c>
      <c r="N79" s="26">
        <f t="shared" si="4"/>
        <v>1</v>
      </c>
      <c r="O79" s="26">
        <f t="shared" si="5"/>
        <v>0</v>
      </c>
      <c r="P79" s="26">
        <f t="shared" si="6"/>
        <v>1</v>
      </c>
      <c r="Q79" s="26">
        <f t="shared" si="7"/>
        <v>0</v>
      </c>
      <c r="R79" s="26">
        <v>0</v>
      </c>
      <c r="S79" s="26">
        <v>1</v>
      </c>
    </row>
    <row r="80" spans="1:19">
      <c r="A80">
        <v>2012</v>
      </c>
      <c r="B80" s="1">
        <v>46350</v>
      </c>
      <c r="C80" t="s">
        <v>42</v>
      </c>
      <c r="D80">
        <v>14.5</v>
      </c>
      <c r="E80" t="s">
        <v>37</v>
      </c>
      <c r="F80">
        <v>0</v>
      </c>
      <c r="H80">
        <v>0</v>
      </c>
      <c r="I80" t="s">
        <v>15</v>
      </c>
      <c r="J80" t="s">
        <v>16</v>
      </c>
      <c r="K80">
        <v>49</v>
      </c>
      <c r="L80">
        <v>0</v>
      </c>
      <c r="M80" s="25">
        <v>49</v>
      </c>
      <c r="N80" s="26">
        <f t="shared" si="4"/>
        <v>1</v>
      </c>
      <c r="O80" s="26">
        <f t="shared" si="5"/>
        <v>0</v>
      </c>
      <c r="P80" s="26">
        <f t="shared" si="6"/>
        <v>0</v>
      </c>
      <c r="Q80" s="26">
        <f t="shared" si="7"/>
        <v>0</v>
      </c>
      <c r="R80" s="26">
        <v>0</v>
      </c>
      <c r="S80" s="26">
        <v>0</v>
      </c>
    </row>
    <row r="81" spans="1:19">
      <c r="A81">
        <v>2012</v>
      </c>
      <c r="B81" s="1">
        <v>46357</v>
      </c>
      <c r="C81" t="s">
        <v>25</v>
      </c>
      <c r="D81">
        <v>16</v>
      </c>
      <c r="E81" t="s">
        <v>23</v>
      </c>
      <c r="F81">
        <v>1</v>
      </c>
      <c r="G81">
        <v>3</v>
      </c>
      <c r="H81">
        <v>0</v>
      </c>
      <c r="I81" t="s">
        <v>27</v>
      </c>
      <c r="J81" t="s">
        <v>16</v>
      </c>
      <c r="K81">
        <v>32</v>
      </c>
      <c r="L81">
        <v>28</v>
      </c>
      <c r="M81" s="25">
        <v>4</v>
      </c>
      <c r="N81" s="26">
        <f t="shared" si="4"/>
        <v>0</v>
      </c>
      <c r="O81" s="26">
        <f t="shared" si="5"/>
        <v>1</v>
      </c>
      <c r="P81" s="26">
        <f t="shared" si="6"/>
        <v>0</v>
      </c>
      <c r="Q81" s="26">
        <f t="shared" si="7"/>
        <v>0</v>
      </c>
      <c r="R81" s="26">
        <v>1</v>
      </c>
      <c r="S81" s="26">
        <v>0</v>
      </c>
    </row>
    <row r="82" spans="1:19">
      <c r="A82">
        <v>2012</v>
      </c>
      <c r="B82" s="2">
        <v>41281</v>
      </c>
      <c r="C82" t="s">
        <v>71</v>
      </c>
      <c r="D82">
        <v>19.5</v>
      </c>
      <c r="E82" t="s">
        <v>77</v>
      </c>
      <c r="F82">
        <v>1</v>
      </c>
      <c r="G82">
        <v>1</v>
      </c>
      <c r="H82">
        <v>1</v>
      </c>
      <c r="I82" t="s">
        <v>27</v>
      </c>
      <c r="J82" t="s">
        <v>16</v>
      </c>
      <c r="K82">
        <v>42</v>
      </c>
      <c r="L82">
        <v>14</v>
      </c>
      <c r="M82" s="25">
        <v>28</v>
      </c>
      <c r="N82" s="26">
        <f t="shared" si="4"/>
        <v>0</v>
      </c>
      <c r="O82" s="26">
        <f t="shared" si="5"/>
        <v>1</v>
      </c>
      <c r="P82" s="26">
        <f t="shared" si="6"/>
        <v>0</v>
      </c>
      <c r="Q82" s="26">
        <f t="shared" si="7"/>
        <v>1</v>
      </c>
      <c r="R82" s="26">
        <v>1</v>
      </c>
      <c r="S82" s="26">
        <v>1</v>
      </c>
    </row>
    <row r="83" spans="1:19">
      <c r="A83">
        <v>2013</v>
      </c>
      <c r="B83" s="1">
        <v>46265</v>
      </c>
      <c r="C83" t="s">
        <v>78</v>
      </c>
      <c r="D83">
        <v>16.5</v>
      </c>
      <c r="E83" t="s">
        <v>49</v>
      </c>
      <c r="F83">
        <v>0</v>
      </c>
      <c r="H83">
        <v>1</v>
      </c>
      <c r="I83" t="s">
        <v>27</v>
      </c>
      <c r="J83" t="s">
        <v>16</v>
      </c>
      <c r="K83">
        <v>35</v>
      </c>
      <c r="L83">
        <v>10</v>
      </c>
      <c r="M83" s="25">
        <v>25</v>
      </c>
      <c r="N83" s="26">
        <f t="shared" si="4"/>
        <v>0</v>
      </c>
      <c r="O83" s="26">
        <f t="shared" si="5"/>
        <v>1</v>
      </c>
      <c r="P83" s="26">
        <f t="shared" si="6"/>
        <v>0</v>
      </c>
      <c r="Q83" s="26">
        <f t="shared" si="7"/>
        <v>0</v>
      </c>
      <c r="R83" s="26">
        <v>0</v>
      </c>
      <c r="S83" s="26">
        <v>1</v>
      </c>
    </row>
    <row r="84" spans="1:19">
      <c r="A84">
        <v>2013</v>
      </c>
      <c r="B84" s="1">
        <v>46279</v>
      </c>
      <c r="C84" t="s">
        <v>42</v>
      </c>
      <c r="D84">
        <v>14.5</v>
      </c>
      <c r="E84" t="s">
        <v>76</v>
      </c>
      <c r="F84">
        <v>1</v>
      </c>
      <c r="G84">
        <v>6</v>
      </c>
      <c r="H84">
        <v>0</v>
      </c>
      <c r="I84" t="s">
        <v>19</v>
      </c>
      <c r="J84" t="s">
        <v>16</v>
      </c>
      <c r="K84">
        <v>49</v>
      </c>
      <c r="L84">
        <v>42</v>
      </c>
      <c r="M84" s="25">
        <v>7</v>
      </c>
      <c r="N84" s="26">
        <f t="shared" si="4"/>
        <v>0</v>
      </c>
      <c r="O84" s="26">
        <f t="shared" si="5"/>
        <v>0</v>
      </c>
      <c r="P84" s="26">
        <f t="shared" si="6"/>
        <v>0</v>
      </c>
      <c r="Q84" s="26">
        <f t="shared" si="7"/>
        <v>0</v>
      </c>
      <c r="R84" s="26">
        <v>1</v>
      </c>
      <c r="S84" s="26">
        <v>0</v>
      </c>
    </row>
    <row r="85" spans="1:19">
      <c r="A85">
        <v>2013</v>
      </c>
      <c r="B85" s="1">
        <v>46286</v>
      </c>
      <c r="C85" t="s">
        <v>13</v>
      </c>
      <c r="D85">
        <v>18</v>
      </c>
      <c r="E85" t="s">
        <v>79</v>
      </c>
      <c r="F85">
        <v>0</v>
      </c>
      <c r="H85">
        <v>1</v>
      </c>
      <c r="I85" t="s">
        <v>15</v>
      </c>
      <c r="J85" t="s">
        <v>16</v>
      </c>
      <c r="K85">
        <v>31</v>
      </c>
      <c r="L85">
        <v>6</v>
      </c>
      <c r="M85" s="25">
        <v>25</v>
      </c>
      <c r="N85" s="26">
        <f t="shared" si="4"/>
        <v>1</v>
      </c>
      <c r="O85" s="26">
        <f t="shared" si="5"/>
        <v>0</v>
      </c>
      <c r="P85" s="26">
        <f t="shared" si="6"/>
        <v>0</v>
      </c>
      <c r="Q85" s="26">
        <f t="shared" si="7"/>
        <v>1</v>
      </c>
      <c r="R85" s="26">
        <v>0</v>
      </c>
      <c r="S85" s="26">
        <v>1</v>
      </c>
    </row>
    <row r="86" spans="1:19">
      <c r="A86">
        <v>2013</v>
      </c>
      <c r="B86" s="1">
        <v>46293</v>
      </c>
      <c r="C86" t="s">
        <v>80</v>
      </c>
      <c r="D86">
        <v>17.5</v>
      </c>
      <c r="E86" t="s">
        <v>30</v>
      </c>
      <c r="F86">
        <v>1</v>
      </c>
      <c r="G86">
        <v>21</v>
      </c>
      <c r="H86">
        <v>0</v>
      </c>
      <c r="I86" t="s">
        <v>15</v>
      </c>
      <c r="J86" t="s">
        <v>16</v>
      </c>
      <c r="K86">
        <v>25</v>
      </c>
      <c r="L86">
        <v>0</v>
      </c>
      <c r="M86" s="25">
        <v>25</v>
      </c>
      <c r="N86" s="26">
        <f t="shared" si="4"/>
        <v>1</v>
      </c>
      <c r="O86" s="26">
        <f t="shared" si="5"/>
        <v>0</v>
      </c>
      <c r="P86" s="26">
        <f t="shared" si="6"/>
        <v>0</v>
      </c>
      <c r="Q86" s="26">
        <f t="shared" si="7"/>
        <v>1</v>
      </c>
      <c r="R86" s="26">
        <v>1</v>
      </c>
      <c r="S86" s="26">
        <v>0</v>
      </c>
    </row>
    <row r="87" spans="1:19">
      <c r="A87">
        <v>2013</v>
      </c>
      <c r="B87" s="1">
        <v>46300</v>
      </c>
      <c r="C87" t="s">
        <v>52</v>
      </c>
      <c r="D87">
        <v>11.35</v>
      </c>
      <c r="E87" t="s">
        <v>64</v>
      </c>
      <c r="F87">
        <v>0</v>
      </c>
      <c r="H87">
        <v>1</v>
      </c>
      <c r="I87" t="s">
        <v>15</v>
      </c>
      <c r="J87" t="s">
        <v>16</v>
      </c>
      <c r="K87">
        <v>45</v>
      </c>
      <c r="L87">
        <v>3</v>
      </c>
      <c r="M87" s="25">
        <v>42</v>
      </c>
      <c r="N87" s="26">
        <f t="shared" si="4"/>
        <v>1</v>
      </c>
      <c r="O87" s="26">
        <f t="shared" si="5"/>
        <v>0</v>
      </c>
      <c r="P87" s="26">
        <f t="shared" si="6"/>
        <v>1</v>
      </c>
      <c r="Q87" s="26">
        <f t="shared" si="7"/>
        <v>0</v>
      </c>
      <c r="R87" s="26">
        <v>0</v>
      </c>
      <c r="S87" s="26">
        <v>1</v>
      </c>
    </row>
    <row r="88" spans="1:19">
      <c r="A88">
        <v>2013</v>
      </c>
      <c r="B88" s="1">
        <v>46307</v>
      </c>
      <c r="C88" t="s">
        <v>13</v>
      </c>
      <c r="D88">
        <v>18</v>
      </c>
      <c r="E88" t="s">
        <v>43</v>
      </c>
      <c r="F88">
        <v>0</v>
      </c>
      <c r="H88">
        <v>0</v>
      </c>
      <c r="I88" t="s">
        <v>19</v>
      </c>
      <c r="J88" t="s">
        <v>16</v>
      </c>
      <c r="K88">
        <v>48</v>
      </c>
      <c r="L88">
        <v>7</v>
      </c>
      <c r="M88" s="25">
        <v>41</v>
      </c>
      <c r="N88" s="26">
        <f t="shared" si="4"/>
        <v>0</v>
      </c>
      <c r="O88" s="26">
        <f t="shared" si="5"/>
        <v>0</v>
      </c>
      <c r="P88" s="26">
        <f t="shared" si="6"/>
        <v>0</v>
      </c>
      <c r="Q88" s="26">
        <f t="shared" si="7"/>
        <v>1</v>
      </c>
      <c r="R88" s="26">
        <v>0</v>
      </c>
      <c r="S88" s="26">
        <v>0</v>
      </c>
    </row>
    <row r="89" spans="1:19">
      <c r="A89">
        <v>2013</v>
      </c>
      <c r="B89" s="1">
        <v>46314</v>
      </c>
      <c r="C89" t="s">
        <v>13</v>
      </c>
      <c r="D89">
        <v>18</v>
      </c>
      <c r="E89" t="s">
        <v>21</v>
      </c>
      <c r="F89">
        <v>0</v>
      </c>
      <c r="H89">
        <v>0</v>
      </c>
      <c r="I89" t="s">
        <v>15</v>
      </c>
      <c r="J89" t="s">
        <v>16</v>
      </c>
      <c r="K89">
        <v>52</v>
      </c>
      <c r="L89">
        <v>0</v>
      </c>
      <c r="M89" s="25">
        <v>52</v>
      </c>
      <c r="N89" s="26">
        <f t="shared" si="4"/>
        <v>1</v>
      </c>
      <c r="O89" s="26">
        <f t="shared" si="5"/>
        <v>0</v>
      </c>
      <c r="P89" s="26">
        <f t="shared" si="6"/>
        <v>0</v>
      </c>
      <c r="Q89" s="26">
        <f t="shared" si="7"/>
        <v>1</v>
      </c>
      <c r="R89" s="26">
        <v>0</v>
      </c>
      <c r="S89" s="26">
        <v>0</v>
      </c>
    </row>
    <row r="90" spans="1:19">
      <c r="A90">
        <v>2013</v>
      </c>
      <c r="B90" s="1">
        <v>46321</v>
      </c>
      <c r="C90" t="s">
        <v>42</v>
      </c>
      <c r="D90">
        <v>14.5</v>
      </c>
      <c r="E90" t="s">
        <v>31</v>
      </c>
      <c r="F90">
        <v>0</v>
      </c>
      <c r="H90">
        <v>0</v>
      </c>
      <c r="I90" t="s">
        <v>15</v>
      </c>
      <c r="J90" t="s">
        <v>16</v>
      </c>
      <c r="K90">
        <v>45</v>
      </c>
      <c r="L90">
        <v>10</v>
      </c>
      <c r="M90" s="25">
        <v>35</v>
      </c>
      <c r="N90" s="26">
        <f t="shared" si="4"/>
        <v>1</v>
      </c>
      <c r="O90" s="26">
        <f t="shared" si="5"/>
        <v>0</v>
      </c>
      <c r="P90" s="26">
        <f t="shared" si="6"/>
        <v>0</v>
      </c>
      <c r="Q90" s="26">
        <f t="shared" si="7"/>
        <v>0</v>
      </c>
      <c r="R90" s="26">
        <v>0</v>
      </c>
      <c r="S90" s="26">
        <v>0</v>
      </c>
    </row>
    <row r="91" spans="1:19">
      <c r="A91">
        <v>2013</v>
      </c>
      <c r="B91" s="1">
        <v>46335</v>
      </c>
      <c r="C91" t="s">
        <v>36</v>
      </c>
      <c r="D91">
        <v>19</v>
      </c>
      <c r="E91" t="s">
        <v>32</v>
      </c>
      <c r="F91">
        <v>1</v>
      </c>
      <c r="G91">
        <v>10</v>
      </c>
      <c r="H91">
        <v>0</v>
      </c>
      <c r="I91" t="s">
        <v>15</v>
      </c>
      <c r="J91" t="s">
        <v>16</v>
      </c>
      <c r="K91">
        <v>38</v>
      </c>
      <c r="L91">
        <v>17</v>
      </c>
      <c r="M91" s="25">
        <v>21</v>
      </c>
      <c r="N91" s="26">
        <f t="shared" si="4"/>
        <v>1</v>
      </c>
      <c r="O91" s="26">
        <f t="shared" si="5"/>
        <v>0</v>
      </c>
      <c r="P91" s="26">
        <f t="shared" si="6"/>
        <v>0</v>
      </c>
      <c r="Q91" s="26">
        <f t="shared" si="7"/>
        <v>1</v>
      </c>
      <c r="R91" s="26">
        <v>1</v>
      </c>
      <c r="S91" s="26">
        <v>0</v>
      </c>
    </row>
    <row r="92" spans="1:19">
      <c r="A92">
        <v>2013</v>
      </c>
      <c r="B92" s="1">
        <v>46342</v>
      </c>
      <c r="C92" t="s">
        <v>22</v>
      </c>
      <c r="D92">
        <v>18.75</v>
      </c>
      <c r="E92" t="s">
        <v>33</v>
      </c>
      <c r="F92">
        <v>0</v>
      </c>
      <c r="H92">
        <v>0</v>
      </c>
      <c r="I92" t="s">
        <v>19</v>
      </c>
      <c r="J92" t="s">
        <v>16</v>
      </c>
      <c r="K92">
        <v>20</v>
      </c>
      <c r="L92">
        <v>7</v>
      </c>
      <c r="M92" s="25">
        <v>13</v>
      </c>
      <c r="N92" s="26">
        <f t="shared" si="4"/>
        <v>0</v>
      </c>
      <c r="O92" s="26">
        <f t="shared" si="5"/>
        <v>0</v>
      </c>
      <c r="P92" s="26">
        <f t="shared" si="6"/>
        <v>0</v>
      </c>
      <c r="Q92" s="26">
        <f t="shared" si="7"/>
        <v>1</v>
      </c>
      <c r="R92" s="26">
        <v>0</v>
      </c>
      <c r="S92" s="26">
        <v>0</v>
      </c>
    </row>
    <row r="93" spans="1:19">
      <c r="A93">
        <v>2013</v>
      </c>
      <c r="B93" s="1">
        <v>46349</v>
      </c>
      <c r="C93" t="s">
        <v>69</v>
      </c>
      <c r="D93">
        <v>13</v>
      </c>
      <c r="E93" t="s">
        <v>55</v>
      </c>
      <c r="F93">
        <v>0</v>
      </c>
      <c r="H93">
        <v>1</v>
      </c>
      <c r="I93" t="s">
        <v>15</v>
      </c>
      <c r="J93" t="s">
        <v>16</v>
      </c>
      <c r="K93">
        <v>49</v>
      </c>
      <c r="L93">
        <v>0</v>
      </c>
      <c r="M93" s="25">
        <v>49</v>
      </c>
      <c r="N93" s="26">
        <f t="shared" si="4"/>
        <v>1</v>
      </c>
      <c r="O93" s="26">
        <f t="shared" si="5"/>
        <v>0</v>
      </c>
      <c r="P93" s="26">
        <f t="shared" si="6"/>
        <v>0</v>
      </c>
      <c r="Q93" s="26">
        <f t="shared" si="7"/>
        <v>0</v>
      </c>
      <c r="R93" s="26">
        <v>0</v>
      </c>
      <c r="S93" s="26">
        <v>1</v>
      </c>
    </row>
    <row r="94" spans="1:19">
      <c r="A94">
        <v>2013</v>
      </c>
      <c r="B94" s="1">
        <v>46356</v>
      </c>
      <c r="C94" t="s">
        <v>42</v>
      </c>
      <c r="D94">
        <v>14.5</v>
      </c>
      <c r="E94" t="s">
        <v>37</v>
      </c>
      <c r="F94">
        <v>1</v>
      </c>
      <c r="G94">
        <v>4</v>
      </c>
      <c r="H94">
        <v>0</v>
      </c>
      <c r="I94" t="s">
        <v>19</v>
      </c>
      <c r="J94" t="s">
        <v>24</v>
      </c>
      <c r="K94">
        <v>28</v>
      </c>
      <c r="L94">
        <v>34</v>
      </c>
      <c r="M94" s="25">
        <v>-6</v>
      </c>
      <c r="N94" s="26">
        <f t="shared" si="4"/>
        <v>0</v>
      </c>
      <c r="O94" s="26">
        <f t="shared" si="5"/>
        <v>0</v>
      </c>
      <c r="P94" s="26">
        <f t="shared" si="6"/>
        <v>0</v>
      </c>
      <c r="Q94" s="26">
        <f t="shared" si="7"/>
        <v>0</v>
      </c>
      <c r="R94" s="26">
        <v>1</v>
      </c>
      <c r="S94" s="26">
        <v>0</v>
      </c>
    </row>
    <row r="95" spans="1:19">
      <c r="A95">
        <v>2013</v>
      </c>
      <c r="B95" s="2">
        <v>41641</v>
      </c>
      <c r="C95" t="s">
        <v>71</v>
      </c>
      <c r="D95">
        <v>19.5</v>
      </c>
      <c r="E95" t="s">
        <v>81</v>
      </c>
      <c r="F95">
        <v>1</v>
      </c>
      <c r="G95">
        <v>11</v>
      </c>
      <c r="H95">
        <v>1</v>
      </c>
      <c r="I95" t="s">
        <v>27</v>
      </c>
      <c r="J95" t="s">
        <v>24</v>
      </c>
      <c r="K95">
        <v>31</v>
      </c>
      <c r="L95">
        <v>45</v>
      </c>
      <c r="M95" s="25">
        <v>-14</v>
      </c>
      <c r="N95" s="26">
        <f t="shared" si="4"/>
        <v>0</v>
      </c>
      <c r="O95" s="26">
        <f t="shared" si="5"/>
        <v>1</v>
      </c>
      <c r="P95" s="26">
        <f t="shared" si="6"/>
        <v>0</v>
      </c>
      <c r="Q95" s="26">
        <f t="shared" si="7"/>
        <v>1</v>
      </c>
      <c r="R95" s="26">
        <v>1</v>
      </c>
      <c r="S95" s="26">
        <v>1</v>
      </c>
    </row>
    <row r="96" spans="1:19">
      <c r="A96">
        <v>2014</v>
      </c>
      <c r="B96" s="1">
        <v>46264</v>
      </c>
      <c r="C96" t="s">
        <v>42</v>
      </c>
      <c r="D96">
        <v>14.5</v>
      </c>
      <c r="E96" t="s">
        <v>82</v>
      </c>
      <c r="F96">
        <v>0</v>
      </c>
      <c r="H96">
        <v>1</v>
      </c>
      <c r="I96" t="s">
        <v>27</v>
      </c>
      <c r="J96" t="s">
        <v>16</v>
      </c>
      <c r="K96">
        <v>33</v>
      </c>
      <c r="L96">
        <v>23</v>
      </c>
      <c r="M96" s="25">
        <v>10</v>
      </c>
      <c r="N96" s="26">
        <f t="shared" si="4"/>
        <v>0</v>
      </c>
      <c r="O96" s="26">
        <f t="shared" si="5"/>
        <v>1</v>
      </c>
      <c r="P96" s="26">
        <f t="shared" si="6"/>
        <v>0</v>
      </c>
      <c r="Q96" s="26">
        <f t="shared" si="7"/>
        <v>0</v>
      </c>
      <c r="R96" s="26">
        <v>0</v>
      </c>
      <c r="S96" s="26">
        <v>1</v>
      </c>
    </row>
    <row r="97" spans="1:19">
      <c r="A97">
        <v>2014</v>
      </c>
      <c r="B97" s="1">
        <v>46271</v>
      </c>
      <c r="C97" t="s">
        <v>83</v>
      </c>
      <c r="D97">
        <v>11</v>
      </c>
      <c r="E97" t="s">
        <v>73</v>
      </c>
      <c r="F97">
        <v>0</v>
      </c>
      <c r="H97">
        <v>1</v>
      </c>
      <c r="I97" t="s">
        <v>15</v>
      </c>
      <c r="J97" t="s">
        <v>16</v>
      </c>
      <c r="K97">
        <v>41</v>
      </c>
      <c r="L97">
        <v>0</v>
      </c>
      <c r="M97" s="25">
        <v>41</v>
      </c>
      <c r="N97" s="26">
        <f t="shared" si="4"/>
        <v>1</v>
      </c>
      <c r="O97" s="26">
        <f t="shared" si="5"/>
        <v>0</v>
      </c>
      <c r="P97" s="26">
        <f t="shared" si="6"/>
        <v>1</v>
      </c>
      <c r="Q97" s="26">
        <f t="shared" si="7"/>
        <v>0</v>
      </c>
      <c r="R97" s="26">
        <v>0</v>
      </c>
      <c r="S97" s="26">
        <v>1</v>
      </c>
    </row>
    <row r="98" spans="1:19">
      <c r="A98">
        <v>2014</v>
      </c>
      <c r="B98" s="1">
        <v>46278</v>
      </c>
      <c r="C98" t="s">
        <v>68</v>
      </c>
      <c r="D98">
        <v>17</v>
      </c>
      <c r="E98" t="s">
        <v>84</v>
      </c>
      <c r="F98">
        <v>0</v>
      </c>
      <c r="H98">
        <v>1</v>
      </c>
      <c r="I98" t="s">
        <v>15</v>
      </c>
      <c r="J98" t="s">
        <v>16</v>
      </c>
      <c r="K98">
        <v>52</v>
      </c>
      <c r="L98">
        <v>12</v>
      </c>
      <c r="M98" s="25">
        <v>40</v>
      </c>
      <c r="N98" s="26">
        <f t="shared" si="4"/>
        <v>1</v>
      </c>
      <c r="O98" s="26">
        <f t="shared" si="5"/>
        <v>0</v>
      </c>
      <c r="P98" s="26">
        <f t="shared" si="6"/>
        <v>0</v>
      </c>
      <c r="Q98" s="26">
        <f t="shared" si="7"/>
        <v>1</v>
      </c>
      <c r="R98" s="26">
        <v>0</v>
      </c>
      <c r="S98" s="26">
        <v>1</v>
      </c>
    </row>
    <row r="99" spans="1:19">
      <c r="A99">
        <v>2014</v>
      </c>
      <c r="B99" s="1">
        <v>46285</v>
      </c>
      <c r="C99" t="s">
        <v>42</v>
      </c>
      <c r="D99">
        <v>14.5</v>
      </c>
      <c r="E99" t="s">
        <v>46</v>
      </c>
      <c r="F99">
        <v>0</v>
      </c>
      <c r="H99">
        <v>0</v>
      </c>
      <c r="I99" t="s">
        <v>15</v>
      </c>
      <c r="J99" t="s">
        <v>16</v>
      </c>
      <c r="K99">
        <v>42</v>
      </c>
      <c r="L99">
        <v>21</v>
      </c>
      <c r="M99" s="25">
        <v>21</v>
      </c>
      <c r="N99" s="26">
        <f t="shared" si="4"/>
        <v>1</v>
      </c>
      <c r="O99" s="26">
        <f t="shared" si="5"/>
        <v>0</v>
      </c>
      <c r="P99" s="26">
        <f t="shared" si="6"/>
        <v>0</v>
      </c>
      <c r="Q99" s="26">
        <f t="shared" si="7"/>
        <v>0</v>
      </c>
      <c r="R99" s="26">
        <v>0</v>
      </c>
      <c r="S99" s="26">
        <v>0</v>
      </c>
    </row>
    <row r="100" spans="1:19">
      <c r="A100">
        <v>2014</v>
      </c>
      <c r="B100" s="1">
        <v>46299</v>
      </c>
      <c r="C100" t="s">
        <v>42</v>
      </c>
      <c r="D100">
        <v>14.5</v>
      </c>
      <c r="E100" t="s">
        <v>30</v>
      </c>
      <c r="F100">
        <v>1</v>
      </c>
      <c r="G100">
        <v>11</v>
      </c>
      <c r="H100">
        <v>0</v>
      </c>
      <c r="I100" t="s">
        <v>19</v>
      </c>
      <c r="J100" t="s">
        <v>24</v>
      </c>
      <c r="K100">
        <v>17</v>
      </c>
      <c r="L100">
        <v>23</v>
      </c>
      <c r="M100" s="25">
        <v>-6</v>
      </c>
      <c r="N100" s="26">
        <f t="shared" si="4"/>
        <v>0</v>
      </c>
      <c r="O100" s="26">
        <f t="shared" si="5"/>
        <v>0</v>
      </c>
      <c r="P100" s="26">
        <f t="shared" si="6"/>
        <v>0</v>
      </c>
      <c r="Q100" s="26">
        <f t="shared" si="7"/>
        <v>0</v>
      </c>
      <c r="R100" s="26">
        <v>1</v>
      </c>
      <c r="S100" s="26">
        <v>0</v>
      </c>
    </row>
    <row r="101" spans="1:19">
      <c r="A101">
        <v>2014</v>
      </c>
      <c r="B101" s="1">
        <v>46306</v>
      </c>
      <c r="C101" t="s">
        <v>68</v>
      </c>
      <c r="D101">
        <v>17</v>
      </c>
      <c r="E101" t="s">
        <v>21</v>
      </c>
      <c r="F101">
        <v>0</v>
      </c>
      <c r="H101">
        <v>0</v>
      </c>
      <c r="I101" t="s">
        <v>19</v>
      </c>
      <c r="J101" t="s">
        <v>16</v>
      </c>
      <c r="K101">
        <v>14</v>
      </c>
      <c r="L101">
        <v>13</v>
      </c>
      <c r="M101" s="25">
        <v>1</v>
      </c>
      <c r="N101" s="26">
        <f t="shared" si="4"/>
        <v>0</v>
      </c>
      <c r="O101" s="26">
        <f t="shared" si="5"/>
        <v>0</v>
      </c>
      <c r="P101" s="26">
        <f t="shared" si="6"/>
        <v>0</v>
      </c>
      <c r="Q101" s="26">
        <f t="shared" si="7"/>
        <v>1</v>
      </c>
      <c r="R101" s="26">
        <v>0</v>
      </c>
      <c r="S101" s="26">
        <v>0</v>
      </c>
    </row>
    <row r="102" spans="1:19">
      <c r="A102">
        <v>2014</v>
      </c>
      <c r="B102" s="1">
        <v>46313</v>
      </c>
      <c r="C102" t="s">
        <v>42</v>
      </c>
      <c r="D102">
        <v>14.5</v>
      </c>
      <c r="E102" t="s">
        <v>76</v>
      </c>
      <c r="F102">
        <v>1</v>
      </c>
      <c r="G102">
        <v>21</v>
      </c>
      <c r="H102">
        <v>0</v>
      </c>
      <c r="I102" t="s">
        <v>15</v>
      </c>
      <c r="J102" t="s">
        <v>16</v>
      </c>
      <c r="K102">
        <v>59</v>
      </c>
      <c r="L102">
        <v>0</v>
      </c>
      <c r="M102" s="25">
        <v>59</v>
      </c>
      <c r="N102" s="26">
        <f t="shared" si="4"/>
        <v>1</v>
      </c>
      <c r="O102" s="26">
        <f t="shared" si="5"/>
        <v>0</v>
      </c>
      <c r="P102" s="26">
        <f t="shared" si="6"/>
        <v>0</v>
      </c>
      <c r="Q102" s="26">
        <f t="shared" si="7"/>
        <v>0</v>
      </c>
      <c r="R102" s="26">
        <v>1</v>
      </c>
      <c r="S102" s="26">
        <v>0</v>
      </c>
    </row>
    <row r="103" spans="1:19">
      <c r="A103">
        <v>2014</v>
      </c>
      <c r="B103" s="1">
        <v>46320</v>
      </c>
      <c r="C103" t="s">
        <v>63</v>
      </c>
      <c r="D103">
        <v>18.5</v>
      </c>
      <c r="E103" t="s">
        <v>31</v>
      </c>
      <c r="F103">
        <v>0</v>
      </c>
      <c r="H103">
        <v>0</v>
      </c>
      <c r="I103" t="s">
        <v>19</v>
      </c>
      <c r="J103" t="s">
        <v>16</v>
      </c>
      <c r="K103">
        <v>34</v>
      </c>
      <c r="L103">
        <v>20</v>
      </c>
      <c r="M103" s="25">
        <v>14</v>
      </c>
      <c r="N103" s="26">
        <f t="shared" si="4"/>
        <v>0</v>
      </c>
      <c r="O103" s="26">
        <f t="shared" si="5"/>
        <v>0</v>
      </c>
      <c r="P103" s="26">
        <f t="shared" si="6"/>
        <v>0</v>
      </c>
      <c r="Q103" s="26">
        <f t="shared" si="7"/>
        <v>1</v>
      </c>
      <c r="R103" s="26">
        <v>0</v>
      </c>
      <c r="S103" s="26">
        <v>0</v>
      </c>
    </row>
    <row r="104" spans="1:19">
      <c r="A104">
        <v>2014</v>
      </c>
      <c r="B104" s="1">
        <v>46334</v>
      </c>
      <c r="C104" t="s">
        <v>36</v>
      </c>
      <c r="D104">
        <v>19</v>
      </c>
      <c r="E104" t="s">
        <v>32</v>
      </c>
      <c r="F104">
        <v>1</v>
      </c>
      <c r="G104">
        <v>16</v>
      </c>
      <c r="H104">
        <v>0</v>
      </c>
      <c r="I104" t="s">
        <v>19</v>
      </c>
      <c r="J104" t="s">
        <v>16</v>
      </c>
      <c r="K104">
        <v>20</v>
      </c>
      <c r="L104">
        <v>13</v>
      </c>
      <c r="M104" s="25">
        <v>7</v>
      </c>
      <c r="N104" s="26">
        <f t="shared" si="4"/>
        <v>0</v>
      </c>
      <c r="O104" s="26">
        <f t="shared" si="5"/>
        <v>0</v>
      </c>
      <c r="P104" s="26">
        <f t="shared" si="6"/>
        <v>0</v>
      </c>
      <c r="Q104" s="26">
        <f t="shared" si="7"/>
        <v>1</v>
      </c>
      <c r="R104" s="26">
        <v>1</v>
      </c>
      <c r="S104" s="26">
        <v>0</v>
      </c>
    </row>
    <row r="105" spans="1:19">
      <c r="A105">
        <v>2014</v>
      </c>
      <c r="B105" s="1">
        <v>46341</v>
      </c>
      <c r="C105" t="s">
        <v>42</v>
      </c>
      <c r="D105">
        <v>14.5</v>
      </c>
      <c r="E105" t="s">
        <v>33</v>
      </c>
      <c r="F105">
        <v>1</v>
      </c>
      <c r="G105">
        <v>1</v>
      </c>
      <c r="H105">
        <v>0</v>
      </c>
      <c r="I105" t="s">
        <v>15</v>
      </c>
      <c r="J105" t="s">
        <v>16</v>
      </c>
      <c r="K105">
        <v>25</v>
      </c>
      <c r="L105">
        <v>20</v>
      </c>
      <c r="M105" s="25">
        <v>5</v>
      </c>
      <c r="N105" s="26">
        <f t="shared" si="4"/>
        <v>1</v>
      </c>
      <c r="O105" s="26">
        <f t="shared" si="5"/>
        <v>0</v>
      </c>
      <c r="P105" s="26">
        <f t="shared" si="6"/>
        <v>0</v>
      </c>
      <c r="Q105" s="26">
        <f t="shared" si="7"/>
        <v>0</v>
      </c>
      <c r="R105" s="26">
        <v>1</v>
      </c>
      <c r="S105" s="26">
        <v>0</v>
      </c>
    </row>
    <row r="106" spans="1:19">
      <c r="A106">
        <v>2014</v>
      </c>
      <c r="B106" s="1">
        <v>46348</v>
      </c>
      <c r="C106" t="s">
        <v>45</v>
      </c>
      <c r="D106">
        <v>15</v>
      </c>
      <c r="E106" t="s">
        <v>14</v>
      </c>
      <c r="F106">
        <v>0</v>
      </c>
      <c r="H106">
        <v>1</v>
      </c>
      <c r="I106" t="s">
        <v>15</v>
      </c>
      <c r="J106" t="s">
        <v>16</v>
      </c>
      <c r="K106">
        <v>48</v>
      </c>
      <c r="L106">
        <v>14</v>
      </c>
      <c r="M106" s="25">
        <v>34</v>
      </c>
      <c r="N106" s="26">
        <f t="shared" si="4"/>
        <v>1</v>
      </c>
      <c r="O106" s="26">
        <f t="shared" si="5"/>
        <v>0</v>
      </c>
      <c r="P106" s="26">
        <f t="shared" si="6"/>
        <v>0</v>
      </c>
      <c r="Q106" s="26">
        <f t="shared" si="7"/>
        <v>0</v>
      </c>
      <c r="R106" s="26">
        <v>0</v>
      </c>
      <c r="S106" s="26">
        <v>1</v>
      </c>
    </row>
    <row r="107" spans="1:19">
      <c r="A107">
        <v>2014</v>
      </c>
      <c r="B107" s="1">
        <v>46355</v>
      </c>
      <c r="C107" t="s">
        <v>22</v>
      </c>
      <c r="D107">
        <v>18.75</v>
      </c>
      <c r="E107" t="s">
        <v>37</v>
      </c>
      <c r="F107">
        <v>1</v>
      </c>
      <c r="G107">
        <v>15</v>
      </c>
      <c r="H107">
        <v>0</v>
      </c>
      <c r="I107" t="s">
        <v>15</v>
      </c>
      <c r="J107" t="s">
        <v>16</v>
      </c>
      <c r="K107">
        <v>55</v>
      </c>
      <c r="L107">
        <v>44</v>
      </c>
      <c r="M107" s="25">
        <v>11</v>
      </c>
      <c r="N107" s="26">
        <f t="shared" si="4"/>
        <v>1</v>
      </c>
      <c r="O107" s="26">
        <f t="shared" si="5"/>
        <v>0</v>
      </c>
      <c r="P107" s="26">
        <f t="shared" si="6"/>
        <v>0</v>
      </c>
      <c r="Q107" s="26">
        <f t="shared" si="7"/>
        <v>1</v>
      </c>
      <c r="R107" s="26">
        <v>1</v>
      </c>
      <c r="S107" s="26">
        <v>0</v>
      </c>
    </row>
    <row r="108" spans="1:19">
      <c r="A108">
        <v>2014</v>
      </c>
      <c r="B108" s="1">
        <v>46362</v>
      </c>
      <c r="C108" t="s">
        <v>45</v>
      </c>
      <c r="D108">
        <v>15</v>
      </c>
      <c r="E108" t="s">
        <v>74</v>
      </c>
      <c r="F108">
        <v>1</v>
      </c>
      <c r="G108">
        <v>16</v>
      </c>
      <c r="H108">
        <v>0</v>
      </c>
      <c r="I108" t="s">
        <v>27</v>
      </c>
      <c r="J108" t="s">
        <v>16</v>
      </c>
      <c r="K108">
        <v>42</v>
      </c>
      <c r="L108">
        <v>13</v>
      </c>
      <c r="M108" s="25">
        <v>29</v>
      </c>
      <c r="N108" s="26">
        <f t="shared" si="4"/>
        <v>0</v>
      </c>
      <c r="O108" s="26">
        <f t="shared" si="5"/>
        <v>1</v>
      </c>
      <c r="P108" s="26">
        <f t="shared" si="6"/>
        <v>0</v>
      </c>
      <c r="Q108" s="26">
        <f t="shared" si="7"/>
        <v>0</v>
      </c>
      <c r="R108" s="26">
        <v>1</v>
      </c>
      <c r="S108" s="26">
        <v>0</v>
      </c>
    </row>
    <row r="109" spans="1:19">
      <c r="A109">
        <v>2014</v>
      </c>
      <c r="B109" s="2">
        <v>42005</v>
      </c>
      <c r="C109" t="s">
        <v>71</v>
      </c>
      <c r="D109">
        <v>19.5</v>
      </c>
      <c r="E109" t="s">
        <v>85</v>
      </c>
      <c r="F109">
        <v>1</v>
      </c>
      <c r="G109">
        <v>4</v>
      </c>
      <c r="H109">
        <v>1</v>
      </c>
      <c r="I109" t="s">
        <v>27</v>
      </c>
      <c r="J109" t="s">
        <v>24</v>
      </c>
      <c r="K109">
        <v>35</v>
      </c>
      <c r="L109">
        <v>42</v>
      </c>
      <c r="M109" s="25">
        <v>-7</v>
      </c>
      <c r="N109" s="26">
        <f t="shared" si="4"/>
        <v>0</v>
      </c>
      <c r="O109" s="26">
        <f t="shared" si="5"/>
        <v>1</v>
      </c>
      <c r="P109" s="26">
        <f t="shared" si="6"/>
        <v>0</v>
      </c>
      <c r="Q109" s="26">
        <f t="shared" si="7"/>
        <v>1</v>
      </c>
      <c r="R109" s="26">
        <v>1</v>
      </c>
      <c r="S109" s="26">
        <v>1</v>
      </c>
    </row>
    <row r="110" spans="1:19">
      <c r="A110">
        <v>2015</v>
      </c>
      <c r="B110" s="1">
        <v>46270</v>
      </c>
      <c r="C110" t="s">
        <v>36</v>
      </c>
      <c r="D110">
        <v>19</v>
      </c>
      <c r="E110" t="s">
        <v>86</v>
      </c>
      <c r="F110">
        <v>1</v>
      </c>
      <c r="G110">
        <v>20</v>
      </c>
      <c r="H110">
        <v>1</v>
      </c>
      <c r="I110" t="s">
        <v>27</v>
      </c>
      <c r="J110" t="s">
        <v>16</v>
      </c>
      <c r="K110">
        <v>35</v>
      </c>
      <c r="L110">
        <v>17</v>
      </c>
      <c r="M110" s="25">
        <v>18</v>
      </c>
      <c r="N110" s="26">
        <f t="shared" si="4"/>
        <v>0</v>
      </c>
      <c r="O110" s="26">
        <f t="shared" si="5"/>
        <v>1</v>
      </c>
      <c r="P110" s="26">
        <f t="shared" si="6"/>
        <v>0</v>
      </c>
      <c r="Q110" s="26">
        <f t="shared" si="7"/>
        <v>1</v>
      </c>
      <c r="R110" s="26">
        <v>1</v>
      </c>
      <c r="S110" s="26">
        <v>1</v>
      </c>
    </row>
    <row r="111" spans="1:19">
      <c r="A111">
        <v>2015</v>
      </c>
      <c r="B111" s="1">
        <v>46277</v>
      </c>
      <c r="C111" t="s">
        <v>45</v>
      </c>
      <c r="D111">
        <v>15</v>
      </c>
      <c r="E111" t="s">
        <v>87</v>
      </c>
      <c r="F111">
        <v>0</v>
      </c>
      <c r="H111">
        <v>1</v>
      </c>
      <c r="I111" t="s">
        <v>15</v>
      </c>
      <c r="J111" t="s">
        <v>16</v>
      </c>
      <c r="K111">
        <v>37</v>
      </c>
      <c r="L111">
        <v>10</v>
      </c>
      <c r="M111" s="25">
        <v>27</v>
      </c>
      <c r="N111" s="26">
        <f t="shared" si="4"/>
        <v>1</v>
      </c>
      <c r="O111" s="26">
        <f t="shared" si="5"/>
        <v>0</v>
      </c>
      <c r="P111" s="26">
        <f t="shared" si="6"/>
        <v>0</v>
      </c>
      <c r="Q111" s="26">
        <f t="shared" si="7"/>
        <v>0</v>
      </c>
      <c r="R111" s="26">
        <v>0</v>
      </c>
      <c r="S111" s="26">
        <v>1</v>
      </c>
    </row>
    <row r="112" spans="1:19">
      <c r="A112">
        <v>2015</v>
      </c>
      <c r="B112" s="1">
        <v>46284</v>
      </c>
      <c r="C112" t="s">
        <v>61</v>
      </c>
      <c r="D112">
        <v>20.25</v>
      </c>
      <c r="E112" t="s">
        <v>30</v>
      </c>
      <c r="F112">
        <v>1</v>
      </c>
      <c r="G112">
        <v>15</v>
      </c>
      <c r="H112">
        <v>0</v>
      </c>
      <c r="I112" t="s">
        <v>15</v>
      </c>
      <c r="J112" t="s">
        <v>24</v>
      </c>
      <c r="K112">
        <v>37</v>
      </c>
      <c r="L112">
        <v>43</v>
      </c>
      <c r="M112" s="25">
        <v>-6</v>
      </c>
      <c r="N112" s="26">
        <f t="shared" si="4"/>
        <v>1</v>
      </c>
      <c r="O112" s="26">
        <f t="shared" si="5"/>
        <v>0</v>
      </c>
      <c r="P112" s="26">
        <f t="shared" si="6"/>
        <v>0</v>
      </c>
      <c r="Q112" s="26">
        <f t="shared" si="7"/>
        <v>1</v>
      </c>
      <c r="R112" s="26">
        <v>1</v>
      </c>
      <c r="S112" s="26">
        <v>0</v>
      </c>
    </row>
    <row r="113" spans="1:19">
      <c r="A113">
        <v>2015</v>
      </c>
      <c r="B113" s="1">
        <v>46291</v>
      </c>
      <c r="C113" t="s">
        <v>45</v>
      </c>
      <c r="D113">
        <v>15</v>
      </c>
      <c r="E113" t="s">
        <v>35</v>
      </c>
      <c r="F113">
        <v>0</v>
      </c>
      <c r="H113">
        <v>1</v>
      </c>
      <c r="I113" t="s">
        <v>15</v>
      </c>
      <c r="J113" t="s">
        <v>16</v>
      </c>
      <c r="K113">
        <v>34</v>
      </c>
      <c r="L113">
        <v>0</v>
      </c>
      <c r="M113" s="25">
        <v>34</v>
      </c>
      <c r="N113" s="26">
        <f t="shared" si="4"/>
        <v>1</v>
      </c>
      <c r="O113" s="26">
        <f t="shared" si="5"/>
        <v>0</v>
      </c>
      <c r="P113" s="26">
        <f t="shared" si="6"/>
        <v>0</v>
      </c>
      <c r="Q113" s="26">
        <f t="shared" si="7"/>
        <v>0</v>
      </c>
      <c r="R113" s="26">
        <v>0</v>
      </c>
      <c r="S113" s="26">
        <v>1</v>
      </c>
    </row>
    <row r="114" spans="1:19">
      <c r="A114">
        <v>2015</v>
      </c>
      <c r="B114" s="1">
        <v>46298</v>
      </c>
      <c r="C114" t="s">
        <v>42</v>
      </c>
      <c r="D114">
        <v>14.5</v>
      </c>
      <c r="E114" t="s">
        <v>23</v>
      </c>
      <c r="F114">
        <v>1</v>
      </c>
      <c r="G114">
        <v>8</v>
      </c>
      <c r="H114">
        <v>0</v>
      </c>
      <c r="I114" t="s">
        <v>19</v>
      </c>
      <c r="J114" t="s">
        <v>16</v>
      </c>
      <c r="K114">
        <v>38</v>
      </c>
      <c r="L114">
        <v>10</v>
      </c>
      <c r="M114" s="25">
        <v>28</v>
      </c>
      <c r="N114" s="26">
        <f t="shared" si="4"/>
        <v>0</v>
      </c>
      <c r="O114" s="26">
        <f t="shared" si="5"/>
        <v>0</v>
      </c>
      <c r="P114" s="26">
        <f t="shared" si="6"/>
        <v>0</v>
      </c>
      <c r="Q114" s="26">
        <f t="shared" si="7"/>
        <v>0</v>
      </c>
      <c r="R114" s="26">
        <v>1</v>
      </c>
      <c r="S114" s="26">
        <v>0</v>
      </c>
    </row>
    <row r="115" spans="1:19">
      <c r="A115">
        <v>2015</v>
      </c>
      <c r="B115" s="1">
        <v>46305</v>
      </c>
      <c r="C115" t="s">
        <v>13</v>
      </c>
      <c r="D115">
        <v>18</v>
      </c>
      <c r="E115" t="s">
        <v>21</v>
      </c>
      <c r="F115">
        <v>0</v>
      </c>
      <c r="H115">
        <v>0</v>
      </c>
      <c r="I115" t="s">
        <v>15</v>
      </c>
      <c r="J115" t="s">
        <v>16</v>
      </c>
      <c r="K115">
        <v>27</v>
      </c>
      <c r="L115">
        <v>14</v>
      </c>
      <c r="M115" s="25">
        <v>13</v>
      </c>
      <c r="N115" s="26">
        <f t="shared" si="4"/>
        <v>1</v>
      </c>
      <c r="O115" s="26">
        <f t="shared" si="5"/>
        <v>0</v>
      </c>
      <c r="P115" s="26">
        <f t="shared" si="6"/>
        <v>0</v>
      </c>
      <c r="Q115" s="26">
        <f t="shared" si="7"/>
        <v>1</v>
      </c>
      <c r="R115" s="26">
        <v>0</v>
      </c>
      <c r="S115" s="26">
        <v>0</v>
      </c>
    </row>
    <row r="116" spans="1:19">
      <c r="A116">
        <v>2015</v>
      </c>
      <c r="B116" s="1">
        <v>46312</v>
      </c>
      <c r="C116" t="s">
        <v>42</v>
      </c>
      <c r="D116">
        <v>14.5</v>
      </c>
      <c r="E116" t="s">
        <v>76</v>
      </c>
      <c r="F116">
        <v>1</v>
      </c>
      <c r="G116">
        <v>9</v>
      </c>
      <c r="H116">
        <v>0</v>
      </c>
      <c r="I116" t="s">
        <v>19</v>
      </c>
      <c r="J116" t="s">
        <v>16</v>
      </c>
      <c r="K116">
        <v>41</v>
      </c>
      <c r="L116">
        <v>23</v>
      </c>
      <c r="M116" s="25">
        <v>18</v>
      </c>
      <c r="N116" s="26">
        <f t="shared" si="4"/>
        <v>0</v>
      </c>
      <c r="O116" s="26">
        <f t="shared" si="5"/>
        <v>0</v>
      </c>
      <c r="P116" s="26">
        <f t="shared" si="6"/>
        <v>0</v>
      </c>
      <c r="Q116" s="26">
        <f t="shared" si="7"/>
        <v>0</v>
      </c>
      <c r="R116" s="26">
        <v>1</v>
      </c>
      <c r="S116" s="26">
        <v>0</v>
      </c>
    </row>
    <row r="117" spans="1:19">
      <c r="A117">
        <v>2015</v>
      </c>
      <c r="B117" s="1">
        <v>46319</v>
      </c>
      <c r="C117" t="s">
        <v>42</v>
      </c>
      <c r="D117">
        <v>14.5</v>
      </c>
      <c r="E117" t="s">
        <v>31</v>
      </c>
      <c r="F117">
        <v>0</v>
      </c>
      <c r="H117">
        <v>0</v>
      </c>
      <c r="I117" t="s">
        <v>15</v>
      </c>
      <c r="J117" t="s">
        <v>16</v>
      </c>
      <c r="K117">
        <v>19</v>
      </c>
      <c r="L117">
        <v>14</v>
      </c>
      <c r="M117" s="25">
        <v>5</v>
      </c>
      <c r="N117" s="26">
        <f t="shared" si="4"/>
        <v>1</v>
      </c>
      <c r="O117" s="26">
        <f t="shared" si="5"/>
        <v>0</v>
      </c>
      <c r="P117" s="26">
        <f t="shared" si="6"/>
        <v>0</v>
      </c>
      <c r="Q117" s="26">
        <f t="shared" si="7"/>
        <v>0</v>
      </c>
      <c r="R117" s="26">
        <v>0</v>
      </c>
      <c r="S117" s="26">
        <v>0</v>
      </c>
    </row>
    <row r="118" spans="1:19">
      <c r="A118">
        <v>2015</v>
      </c>
      <c r="B118" s="1">
        <v>46333</v>
      </c>
      <c r="C118" t="s">
        <v>36</v>
      </c>
      <c r="D118">
        <v>19</v>
      </c>
      <c r="E118" t="s">
        <v>32</v>
      </c>
      <c r="F118">
        <v>1</v>
      </c>
      <c r="G118">
        <v>2</v>
      </c>
      <c r="H118">
        <v>0</v>
      </c>
      <c r="I118" t="s">
        <v>15</v>
      </c>
      <c r="J118" t="s">
        <v>16</v>
      </c>
      <c r="K118">
        <v>30</v>
      </c>
      <c r="L118">
        <v>16</v>
      </c>
      <c r="M118" s="25">
        <v>14</v>
      </c>
      <c r="N118" s="26">
        <f t="shared" si="4"/>
        <v>1</v>
      </c>
      <c r="O118" s="26">
        <f t="shared" si="5"/>
        <v>0</v>
      </c>
      <c r="P118" s="26">
        <f t="shared" si="6"/>
        <v>0</v>
      </c>
      <c r="Q118" s="26">
        <f t="shared" si="7"/>
        <v>1</v>
      </c>
      <c r="R118" s="26">
        <v>1</v>
      </c>
      <c r="S118" s="26">
        <v>0</v>
      </c>
    </row>
    <row r="119" spans="1:19">
      <c r="A119">
        <v>2015</v>
      </c>
      <c r="B119" s="1">
        <v>46340</v>
      </c>
      <c r="C119" t="s">
        <v>42</v>
      </c>
      <c r="D119">
        <v>14.5</v>
      </c>
      <c r="E119" t="s">
        <v>33</v>
      </c>
      <c r="F119">
        <v>1</v>
      </c>
      <c r="G119">
        <v>17</v>
      </c>
      <c r="H119">
        <v>0</v>
      </c>
      <c r="I119" t="s">
        <v>19</v>
      </c>
      <c r="J119" t="s">
        <v>16</v>
      </c>
      <c r="K119">
        <v>31</v>
      </c>
      <c r="L119">
        <v>6</v>
      </c>
      <c r="M119" s="25">
        <v>25</v>
      </c>
      <c r="N119" s="26">
        <f t="shared" si="4"/>
        <v>0</v>
      </c>
      <c r="O119" s="26">
        <f t="shared" si="5"/>
        <v>0</v>
      </c>
      <c r="P119" s="26">
        <f t="shared" si="6"/>
        <v>0</v>
      </c>
      <c r="Q119" s="26">
        <f t="shared" si="7"/>
        <v>0</v>
      </c>
      <c r="R119" s="26">
        <v>1</v>
      </c>
      <c r="S119" s="26">
        <v>0</v>
      </c>
    </row>
    <row r="120" spans="1:19">
      <c r="A120">
        <v>2015</v>
      </c>
      <c r="B120" s="1">
        <v>46347</v>
      </c>
      <c r="C120" t="s">
        <v>45</v>
      </c>
      <c r="D120">
        <v>15</v>
      </c>
      <c r="E120" t="s">
        <v>88</v>
      </c>
      <c r="F120">
        <v>0</v>
      </c>
      <c r="H120">
        <v>1</v>
      </c>
      <c r="I120" t="s">
        <v>15</v>
      </c>
      <c r="J120" t="s">
        <v>16</v>
      </c>
      <c r="K120">
        <v>56</v>
      </c>
      <c r="L120">
        <v>6</v>
      </c>
      <c r="M120" s="25">
        <v>50</v>
      </c>
      <c r="N120" s="26">
        <f t="shared" si="4"/>
        <v>1</v>
      </c>
      <c r="O120" s="26">
        <f t="shared" si="5"/>
        <v>0</v>
      </c>
      <c r="P120" s="26">
        <f t="shared" si="6"/>
        <v>0</v>
      </c>
      <c r="Q120" s="26">
        <f t="shared" si="7"/>
        <v>0</v>
      </c>
      <c r="R120" s="26">
        <v>0</v>
      </c>
      <c r="S120" s="26">
        <v>1</v>
      </c>
    </row>
    <row r="121" spans="1:19">
      <c r="A121">
        <v>2015</v>
      </c>
      <c r="B121" s="1">
        <v>46354</v>
      </c>
      <c r="C121" t="s">
        <v>42</v>
      </c>
      <c r="D121">
        <v>14.5</v>
      </c>
      <c r="E121" t="s">
        <v>37</v>
      </c>
      <c r="F121">
        <v>0</v>
      </c>
      <c r="H121">
        <v>0</v>
      </c>
      <c r="I121" t="s">
        <v>19</v>
      </c>
      <c r="J121" t="s">
        <v>16</v>
      </c>
      <c r="K121">
        <v>29</v>
      </c>
      <c r="L121">
        <v>13</v>
      </c>
      <c r="M121" s="25">
        <v>16</v>
      </c>
      <c r="N121" s="26">
        <f t="shared" si="4"/>
        <v>0</v>
      </c>
      <c r="O121" s="26">
        <f t="shared" si="5"/>
        <v>0</v>
      </c>
      <c r="P121" s="26">
        <f t="shared" si="6"/>
        <v>0</v>
      </c>
      <c r="Q121" s="26">
        <f t="shared" si="7"/>
        <v>0</v>
      </c>
      <c r="R121" s="26">
        <v>0</v>
      </c>
      <c r="S121" s="26">
        <v>0</v>
      </c>
    </row>
    <row r="122" spans="1:19">
      <c r="A122">
        <v>2015</v>
      </c>
      <c r="B122" s="1">
        <v>46361</v>
      </c>
      <c r="C122" t="s">
        <v>45</v>
      </c>
      <c r="D122">
        <v>15</v>
      </c>
      <c r="E122" t="s">
        <v>46</v>
      </c>
      <c r="F122">
        <v>1</v>
      </c>
      <c r="G122">
        <v>18</v>
      </c>
      <c r="H122">
        <v>0</v>
      </c>
      <c r="I122" t="s">
        <v>27</v>
      </c>
      <c r="J122" t="s">
        <v>16</v>
      </c>
      <c r="K122">
        <v>29</v>
      </c>
      <c r="L122">
        <v>15</v>
      </c>
      <c r="M122" s="25">
        <v>14</v>
      </c>
      <c r="N122" s="26">
        <f t="shared" si="4"/>
        <v>0</v>
      </c>
      <c r="O122" s="26">
        <f t="shared" si="5"/>
        <v>1</v>
      </c>
      <c r="P122" s="26">
        <f t="shared" si="6"/>
        <v>0</v>
      </c>
      <c r="Q122" s="26">
        <f t="shared" si="7"/>
        <v>0</v>
      </c>
      <c r="R122" s="26">
        <v>1</v>
      </c>
      <c r="S122" s="26">
        <v>0</v>
      </c>
    </row>
    <row r="123" spans="1:19">
      <c r="A123">
        <v>2015</v>
      </c>
      <c r="B123" s="1">
        <v>46387</v>
      </c>
      <c r="C123" t="s">
        <v>36</v>
      </c>
      <c r="D123">
        <v>19</v>
      </c>
      <c r="E123" t="s">
        <v>66</v>
      </c>
      <c r="F123">
        <v>1</v>
      </c>
      <c r="G123">
        <v>3</v>
      </c>
      <c r="H123">
        <v>1</v>
      </c>
      <c r="I123" t="s">
        <v>27</v>
      </c>
      <c r="J123" t="s">
        <v>16</v>
      </c>
      <c r="K123">
        <v>38</v>
      </c>
      <c r="L123">
        <v>0</v>
      </c>
      <c r="M123" s="25">
        <v>38</v>
      </c>
      <c r="N123" s="26">
        <f t="shared" si="4"/>
        <v>0</v>
      </c>
      <c r="O123" s="26">
        <f t="shared" si="5"/>
        <v>1</v>
      </c>
      <c r="P123" s="26">
        <f t="shared" si="6"/>
        <v>0</v>
      </c>
      <c r="Q123" s="26">
        <f t="shared" si="7"/>
        <v>1</v>
      </c>
      <c r="R123" s="26">
        <v>1</v>
      </c>
      <c r="S123" s="26">
        <v>1</v>
      </c>
    </row>
    <row r="124" spans="1:19">
      <c r="A124">
        <v>2015</v>
      </c>
      <c r="B124" s="2">
        <v>42380</v>
      </c>
      <c r="C124" t="s">
        <v>71</v>
      </c>
      <c r="D124">
        <v>19.5</v>
      </c>
      <c r="E124" t="s">
        <v>39</v>
      </c>
      <c r="F124">
        <v>1</v>
      </c>
      <c r="G124">
        <v>1</v>
      </c>
      <c r="H124">
        <v>1</v>
      </c>
      <c r="I124" t="s">
        <v>27</v>
      </c>
      <c r="J124" t="s">
        <v>16</v>
      </c>
      <c r="K124">
        <v>45</v>
      </c>
      <c r="L124">
        <v>40</v>
      </c>
      <c r="M124" s="25">
        <v>5</v>
      </c>
      <c r="N124" s="26">
        <f t="shared" si="4"/>
        <v>0</v>
      </c>
      <c r="O124" s="26">
        <f t="shared" si="5"/>
        <v>1</v>
      </c>
      <c r="P124" s="26">
        <f t="shared" si="6"/>
        <v>0</v>
      </c>
      <c r="Q124" s="26">
        <f t="shared" si="7"/>
        <v>1</v>
      </c>
      <c r="R124" s="26">
        <v>1</v>
      </c>
      <c r="S124" s="26">
        <v>1</v>
      </c>
    </row>
    <row r="125" spans="1:19">
      <c r="A125">
        <v>2016</v>
      </c>
      <c r="B125" s="1">
        <v>46268</v>
      </c>
      <c r="C125" t="s">
        <v>36</v>
      </c>
      <c r="D125">
        <v>19</v>
      </c>
      <c r="E125" t="s">
        <v>89</v>
      </c>
      <c r="F125">
        <v>1</v>
      </c>
      <c r="G125">
        <v>20</v>
      </c>
      <c r="H125">
        <v>1</v>
      </c>
      <c r="I125" t="s">
        <v>27</v>
      </c>
      <c r="J125" t="s">
        <v>16</v>
      </c>
      <c r="K125">
        <v>52</v>
      </c>
      <c r="L125">
        <v>6</v>
      </c>
      <c r="M125" s="25">
        <v>46</v>
      </c>
      <c r="N125" s="26">
        <f t="shared" si="4"/>
        <v>0</v>
      </c>
      <c r="O125" s="26">
        <f t="shared" si="5"/>
        <v>1</v>
      </c>
      <c r="P125" s="26">
        <f t="shared" si="6"/>
        <v>0</v>
      </c>
      <c r="Q125" s="26">
        <f t="shared" si="7"/>
        <v>1</v>
      </c>
      <c r="R125" s="26">
        <v>1</v>
      </c>
      <c r="S125" s="26">
        <v>1</v>
      </c>
    </row>
    <row r="126" spans="1:19">
      <c r="A126">
        <v>2016</v>
      </c>
      <c r="B126" s="1">
        <v>46275</v>
      </c>
      <c r="C126" t="s">
        <v>42</v>
      </c>
      <c r="D126">
        <v>14.5</v>
      </c>
      <c r="E126" t="s">
        <v>41</v>
      </c>
      <c r="F126">
        <v>0</v>
      </c>
      <c r="H126">
        <v>1</v>
      </c>
      <c r="I126" t="s">
        <v>15</v>
      </c>
      <c r="J126" t="s">
        <v>16</v>
      </c>
      <c r="K126">
        <v>38</v>
      </c>
      <c r="L126">
        <v>10</v>
      </c>
      <c r="M126" s="25">
        <v>28</v>
      </c>
      <c r="N126" s="26">
        <f t="shared" si="4"/>
        <v>1</v>
      </c>
      <c r="O126" s="26">
        <f t="shared" si="5"/>
        <v>0</v>
      </c>
      <c r="P126" s="26">
        <f t="shared" si="6"/>
        <v>0</v>
      </c>
      <c r="Q126" s="26">
        <f t="shared" si="7"/>
        <v>0</v>
      </c>
      <c r="R126" s="26">
        <v>0</v>
      </c>
      <c r="S126" s="26">
        <v>1</v>
      </c>
    </row>
    <row r="127" spans="1:19">
      <c r="A127">
        <v>2016</v>
      </c>
      <c r="B127" s="1">
        <v>46282</v>
      </c>
      <c r="C127" t="s">
        <v>42</v>
      </c>
      <c r="D127">
        <v>14.5</v>
      </c>
      <c r="E127" t="s">
        <v>30</v>
      </c>
      <c r="F127">
        <v>1</v>
      </c>
      <c r="G127">
        <v>19</v>
      </c>
      <c r="H127">
        <v>0</v>
      </c>
      <c r="I127" t="s">
        <v>19</v>
      </c>
      <c r="J127" t="s">
        <v>16</v>
      </c>
      <c r="K127">
        <v>48</v>
      </c>
      <c r="L127">
        <v>43</v>
      </c>
      <c r="M127" s="25">
        <v>5</v>
      </c>
      <c r="N127" s="26">
        <f t="shared" si="4"/>
        <v>0</v>
      </c>
      <c r="O127" s="26">
        <f t="shared" si="5"/>
        <v>0</v>
      </c>
      <c r="P127" s="26">
        <f t="shared" si="6"/>
        <v>0</v>
      </c>
      <c r="Q127" s="26">
        <f t="shared" si="7"/>
        <v>0</v>
      </c>
      <c r="R127" s="26">
        <v>1</v>
      </c>
      <c r="S127" s="26">
        <v>0</v>
      </c>
    </row>
    <row r="128" spans="1:19">
      <c r="A128">
        <v>2016</v>
      </c>
      <c r="B128" s="1">
        <v>46289</v>
      </c>
      <c r="C128" t="s">
        <v>83</v>
      </c>
      <c r="D128">
        <v>11</v>
      </c>
      <c r="E128" t="s">
        <v>67</v>
      </c>
      <c r="F128">
        <v>0</v>
      </c>
      <c r="H128">
        <v>1</v>
      </c>
      <c r="I128" t="s">
        <v>15</v>
      </c>
      <c r="J128" t="s">
        <v>16</v>
      </c>
      <c r="K128">
        <v>48</v>
      </c>
      <c r="L128">
        <v>0</v>
      </c>
      <c r="M128" s="25">
        <v>48</v>
      </c>
      <c r="N128" s="26">
        <f t="shared" si="4"/>
        <v>1</v>
      </c>
      <c r="O128" s="26">
        <f t="shared" si="5"/>
        <v>0</v>
      </c>
      <c r="P128" s="26">
        <f t="shared" si="6"/>
        <v>1</v>
      </c>
      <c r="Q128" s="26">
        <f t="shared" si="7"/>
        <v>0</v>
      </c>
      <c r="R128" s="26">
        <v>0</v>
      </c>
      <c r="S128" s="26">
        <v>1</v>
      </c>
    </row>
    <row r="129" spans="1:19">
      <c r="A129">
        <v>2016</v>
      </c>
      <c r="B129" s="1">
        <v>46296</v>
      </c>
      <c r="C129" t="s">
        <v>13</v>
      </c>
      <c r="D129">
        <v>18</v>
      </c>
      <c r="E129" t="s">
        <v>43</v>
      </c>
      <c r="F129">
        <v>0</v>
      </c>
      <c r="H129">
        <v>0</v>
      </c>
      <c r="I129" t="s">
        <v>15</v>
      </c>
      <c r="J129" t="s">
        <v>16</v>
      </c>
      <c r="K129">
        <v>34</v>
      </c>
      <c r="L129">
        <v>6</v>
      </c>
      <c r="M129" s="25">
        <v>28</v>
      </c>
      <c r="N129" s="26">
        <f t="shared" si="4"/>
        <v>1</v>
      </c>
      <c r="O129" s="26">
        <f t="shared" si="5"/>
        <v>0</v>
      </c>
      <c r="P129" s="26">
        <f t="shared" si="6"/>
        <v>0</v>
      </c>
      <c r="Q129" s="26">
        <f t="shared" si="7"/>
        <v>1</v>
      </c>
      <c r="R129" s="26">
        <v>0</v>
      </c>
      <c r="S129" s="26">
        <v>0</v>
      </c>
    </row>
    <row r="130" spans="1:19">
      <c r="A130">
        <v>2016</v>
      </c>
      <c r="B130" s="1">
        <v>46303</v>
      </c>
      <c r="C130" t="s">
        <v>13</v>
      </c>
      <c r="D130">
        <v>18</v>
      </c>
      <c r="E130" t="s">
        <v>21</v>
      </c>
      <c r="F130">
        <v>1</v>
      </c>
      <c r="G130">
        <v>16</v>
      </c>
      <c r="H130">
        <v>0</v>
      </c>
      <c r="I130" t="s">
        <v>19</v>
      </c>
      <c r="J130" t="s">
        <v>16</v>
      </c>
      <c r="K130">
        <v>49</v>
      </c>
      <c r="L130">
        <v>30</v>
      </c>
      <c r="M130" s="25">
        <v>19</v>
      </c>
      <c r="N130" s="26">
        <f t="shared" si="4"/>
        <v>0</v>
      </c>
      <c r="O130" s="26">
        <f t="shared" si="5"/>
        <v>0</v>
      </c>
      <c r="P130" s="26">
        <f t="shared" si="6"/>
        <v>0</v>
      </c>
      <c r="Q130" s="26">
        <f t="shared" si="7"/>
        <v>1</v>
      </c>
      <c r="R130" s="26">
        <v>1</v>
      </c>
      <c r="S130" s="26">
        <v>0</v>
      </c>
    </row>
    <row r="131" spans="1:19">
      <c r="A131">
        <v>2016</v>
      </c>
      <c r="B131" s="1">
        <v>46310</v>
      </c>
      <c r="C131" t="s">
        <v>42</v>
      </c>
      <c r="D131">
        <v>14.5</v>
      </c>
      <c r="E131" t="s">
        <v>31</v>
      </c>
      <c r="F131">
        <v>1</v>
      </c>
      <c r="G131">
        <v>9</v>
      </c>
      <c r="H131">
        <v>0</v>
      </c>
      <c r="I131" t="s">
        <v>19</v>
      </c>
      <c r="J131" t="s">
        <v>16</v>
      </c>
      <c r="K131">
        <v>49</v>
      </c>
      <c r="L131">
        <v>10</v>
      </c>
      <c r="M131" s="25">
        <v>39</v>
      </c>
      <c r="N131" s="26">
        <f t="shared" ref="N131:N194" si="8">IF(I131="home",1,0)</f>
        <v>0</v>
      </c>
      <c r="O131" s="26">
        <f t="shared" ref="O131:O194" si="9">IF(I131="neutral",1,0)</f>
        <v>0</v>
      </c>
      <c r="P131" s="26">
        <f t="shared" ref="P131:P194" si="10">IF(D131&lt;12,1,0)</f>
        <v>0</v>
      </c>
      <c r="Q131" s="26">
        <f t="shared" ref="Q131:Q194" si="11">IF(D131&gt;=17,1,0)</f>
        <v>0</v>
      </c>
      <c r="R131" s="26">
        <v>1</v>
      </c>
      <c r="S131" s="26">
        <v>0</v>
      </c>
    </row>
    <row r="132" spans="1:19">
      <c r="A132">
        <v>2016</v>
      </c>
      <c r="B132" s="1">
        <v>46317</v>
      </c>
      <c r="C132" t="s">
        <v>42</v>
      </c>
      <c r="D132">
        <v>14.5</v>
      </c>
      <c r="E132" t="s">
        <v>76</v>
      </c>
      <c r="F132">
        <v>1</v>
      </c>
      <c r="G132">
        <v>6</v>
      </c>
      <c r="H132">
        <v>0</v>
      </c>
      <c r="I132" t="s">
        <v>15</v>
      </c>
      <c r="J132" t="s">
        <v>16</v>
      </c>
      <c r="K132">
        <v>33</v>
      </c>
      <c r="L132">
        <v>14</v>
      </c>
      <c r="M132" s="25">
        <v>19</v>
      </c>
      <c r="N132" s="26">
        <f t="shared" si="8"/>
        <v>1</v>
      </c>
      <c r="O132" s="26">
        <f t="shared" si="9"/>
        <v>0</v>
      </c>
      <c r="P132" s="26">
        <f t="shared" si="10"/>
        <v>0</v>
      </c>
      <c r="Q132" s="26">
        <f t="shared" si="11"/>
        <v>0</v>
      </c>
      <c r="R132" s="26">
        <v>1</v>
      </c>
      <c r="S132" s="26">
        <v>0</v>
      </c>
    </row>
    <row r="133" spans="1:19">
      <c r="A133">
        <v>2016</v>
      </c>
      <c r="B133" s="1">
        <v>46331</v>
      </c>
      <c r="C133" t="s">
        <v>36</v>
      </c>
      <c r="D133">
        <v>19</v>
      </c>
      <c r="E133" t="s">
        <v>32</v>
      </c>
      <c r="F133">
        <v>1</v>
      </c>
      <c r="G133">
        <v>13</v>
      </c>
      <c r="H133">
        <v>0</v>
      </c>
      <c r="I133" t="s">
        <v>19</v>
      </c>
      <c r="J133" t="s">
        <v>16</v>
      </c>
      <c r="K133">
        <v>10</v>
      </c>
      <c r="L133">
        <v>0</v>
      </c>
      <c r="M133" s="25">
        <v>10</v>
      </c>
      <c r="N133" s="26">
        <f t="shared" si="8"/>
        <v>0</v>
      </c>
      <c r="O133" s="26">
        <f t="shared" si="9"/>
        <v>0</v>
      </c>
      <c r="P133" s="26">
        <f t="shared" si="10"/>
        <v>0</v>
      </c>
      <c r="Q133" s="26">
        <f t="shared" si="11"/>
        <v>1</v>
      </c>
      <c r="R133" s="26">
        <v>1</v>
      </c>
      <c r="S133" s="26">
        <v>0</v>
      </c>
    </row>
    <row r="134" spans="1:19">
      <c r="A134">
        <v>2016</v>
      </c>
      <c r="B134" s="1">
        <v>46338</v>
      </c>
      <c r="C134" t="s">
        <v>83</v>
      </c>
      <c r="D134">
        <v>11</v>
      </c>
      <c r="E134" t="s">
        <v>33</v>
      </c>
      <c r="F134">
        <v>0</v>
      </c>
      <c r="H134">
        <v>0</v>
      </c>
      <c r="I134" t="s">
        <v>15</v>
      </c>
      <c r="J134" t="s">
        <v>16</v>
      </c>
      <c r="K134">
        <v>51</v>
      </c>
      <c r="L134">
        <v>3</v>
      </c>
      <c r="M134" s="25">
        <v>48</v>
      </c>
      <c r="N134" s="26">
        <f t="shared" si="8"/>
        <v>1</v>
      </c>
      <c r="O134" s="26">
        <f t="shared" si="9"/>
        <v>0</v>
      </c>
      <c r="P134" s="26">
        <f t="shared" si="10"/>
        <v>1</v>
      </c>
      <c r="Q134" s="26">
        <f t="shared" si="11"/>
        <v>0</v>
      </c>
      <c r="R134" s="26">
        <v>0</v>
      </c>
      <c r="S134" s="26">
        <v>0</v>
      </c>
    </row>
    <row r="135" spans="1:19">
      <c r="A135">
        <v>2016</v>
      </c>
      <c r="B135" s="1">
        <v>46345</v>
      </c>
      <c r="C135" t="s">
        <v>13</v>
      </c>
      <c r="D135">
        <v>18</v>
      </c>
      <c r="E135" t="s">
        <v>90</v>
      </c>
      <c r="F135">
        <v>1</v>
      </c>
      <c r="G135">
        <v>12</v>
      </c>
      <c r="H135">
        <v>1</v>
      </c>
      <c r="I135" t="s">
        <v>15</v>
      </c>
      <c r="J135" t="s">
        <v>16</v>
      </c>
      <c r="K135">
        <v>31</v>
      </c>
      <c r="L135">
        <v>3</v>
      </c>
      <c r="M135" s="25">
        <v>28</v>
      </c>
      <c r="N135" s="26">
        <f t="shared" si="8"/>
        <v>1</v>
      </c>
      <c r="O135" s="26">
        <f t="shared" si="9"/>
        <v>0</v>
      </c>
      <c r="P135" s="26">
        <f t="shared" si="10"/>
        <v>0</v>
      </c>
      <c r="Q135" s="26">
        <f t="shared" si="11"/>
        <v>1</v>
      </c>
      <c r="R135" s="26">
        <v>1</v>
      </c>
      <c r="S135" s="26">
        <v>1</v>
      </c>
    </row>
    <row r="136" spans="1:19">
      <c r="A136">
        <v>2016</v>
      </c>
      <c r="B136" s="1">
        <v>46352</v>
      </c>
      <c r="C136" t="s">
        <v>42</v>
      </c>
      <c r="D136">
        <v>14.5</v>
      </c>
      <c r="E136" t="s">
        <v>37</v>
      </c>
      <c r="F136">
        <v>1</v>
      </c>
      <c r="G136">
        <v>13</v>
      </c>
      <c r="H136">
        <v>0</v>
      </c>
      <c r="I136" t="s">
        <v>15</v>
      </c>
      <c r="J136" t="s">
        <v>16</v>
      </c>
      <c r="K136">
        <v>30</v>
      </c>
      <c r="L136">
        <v>12</v>
      </c>
      <c r="M136" s="25">
        <v>18</v>
      </c>
      <c r="N136" s="26">
        <f t="shared" si="8"/>
        <v>1</v>
      </c>
      <c r="O136" s="26">
        <f t="shared" si="9"/>
        <v>0</v>
      </c>
      <c r="P136" s="26">
        <f t="shared" si="10"/>
        <v>0</v>
      </c>
      <c r="Q136" s="26">
        <f t="shared" si="11"/>
        <v>0</v>
      </c>
      <c r="R136" s="26">
        <v>1</v>
      </c>
      <c r="S136" s="26">
        <v>0</v>
      </c>
    </row>
    <row r="137" spans="1:19">
      <c r="A137">
        <v>2016</v>
      </c>
      <c r="B137" s="1">
        <v>46359</v>
      </c>
      <c r="C137" t="s">
        <v>45</v>
      </c>
      <c r="D137">
        <v>15</v>
      </c>
      <c r="E137" t="s">
        <v>46</v>
      </c>
      <c r="F137">
        <v>1</v>
      </c>
      <c r="G137">
        <v>15</v>
      </c>
      <c r="H137">
        <v>0</v>
      </c>
      <c r="I137" t="s">
        <v>27</v>
      </c>
      <c r="J137" t="s">
        <v>16</v>
      </c>
      <c r="K137">
        <v>54</v>
      </c>
      <c r="L137">
        <v>16</v>
      </c>
      <c r="M137" s="25">
        <v>38</v>
      </c>
      <c r="N137" s="26">
        <f t="shared" si="8"/>
        <v>0</v>
      </c>
      <c r="O137" s="26">
        <f t="shared" si="9"/>
        <v>1</v>
      </c>
      <c r="P137" s="26">
        <f t="shared" si="10"/>
        <v>0</v>
      </c>
      <c r="Q137" s="26">
        <f t="shared" si="11"/>
        <v>0</v>
      </c>
      <c r="R137" s="26">
        <v>1</v>
      </c>
      <c r="S137" s="26">
        <v>0</v>
      </c>
    </row>
    <row r="138" spans="1:19">
      <c r="A138">
        <v>2016</v>
      </c>
      <c r="B138" s="1">
        <v>46387</v>
      </c>
      <c r="C138" t="s">
        <v>28</v>
      </c>
      <c r="D138">
        <v>14</v>
      </c>
      <c r="E138" t="s">
        <v>91</v>
      </c>
      <c r="F138">
        <v>1</v>
      </c>
      <c r="G138">
        <v>4</v>
      </c>
      <c r="H138">
        <v>1</v>
      </c>
      <c r="I138" t="s">
        <v>27</v>
      </c>
      <c r="J138" t="s">
        <v>16</v>
      </c>
      <c r="K138">
        <v>24</v>
      </c>
      <c r="L138">
        <v>7</v>
      </c>
      <c r="M138" s="25">
        <v>17</v>
      </c>
      <c r="N138" s="26">
        <f t="shared" si="8"/>
        <v>0</v>
      </c>
      <c r="O138" s="26">
        <f t="shared" si="9"/>
        <v>1</v>
      </c>
      <c r="P138" s="26">
        <f t="shared" si="10"/>
        <v>0</v>
      </c>
      <c r="Q138" s="26">
        <f t="shared" si="11"/>
        <v>0</v>
      </c>
      <c r="R138" s="26">
        <v>1</v>
      </c>
      <c r="S138" s="26">
        <v>1</v>
      </c>
    </row>
    <row r="139" spans="1:19">
      <c r="A139">
        <v>2016</v>
      </c>
      <c r="B139" s="2">
        <v>42744</v>
      </c>
      <c r="C139" t="s">
        <v>36</v>
      </c>
      <c r="D139">
        <v>19</v>
      </c>
      <c r="E139" t="s">
        <v>39</v>
      </c>
      <c r="F139">
        <v>1</v>
      </c>
      <c r="G139">
        <v>2</v>
      </c>
      <c r="H139">
        <v>1</v>
      </c>
      <c r="I139" t="s">
        <v>27</v>
      </c>
      <c r="J139" t="s">
        <v>24</v>
      </c>
      <c r="K139">
        <v>31</v>
      </c>
      <c r="L139">
        <v>35</v>
      </c>
      <c r="M139" s="25">
        <v>-4</v>
      </c>
      <c r="N139" s="26">
        <f t="shared" si="8"/>
        <v>0</v>
      </c>
      <c r="O139" s="26">
        <f t="shared" si="9"/>
        <v>1</v>
      </c>
      <c r="P139" s="26">
        <f t="shared" si="10"/>
        <v>0</v>
      </c>
      <c r="Q139" s="26">
        <f t="shared" si="11"/>
        <v>1</v>
      </c>
      <c r="R139" s="26">
        <v>1</v>
      </c>
      <c r="S139" s="26">
        <v>1</v>
      </c>
    </row>
    <row r="140" spans="1:19">
      <c r="A140">
        <v>2017</v>
      </c>
      <c r="B140" s="1">
        <v>46267</v>
      </c>
      <c r="C140" t="s">
        <v>36</v>
      </c>
      <c r="D140">
        <v>19</v>
      </c>
      <c r="E140" t="s">
        <v>26</v>
      </c>
      <c r="F140">
        <v>1</v>
      </c>
      <c r="G140">
        <v>3</v>
      </c>
      <c r="H140">
        <v>1</v>
      </c>
      <c r="I140" t="s">
        <v>27</v>
      </c>
      <c r="J140" t="s">
        <v>16</v>
      </c>
      <c r="K140">
        <v>24</v>
      </c>
      <c r="L140">
        <v>7</v>
      </c>
      <c r="M140" s="25">
        <v>17</v>
      </c>
      <c r="N140" s="26">
        <f t="shared" si="8"/>
        <v>0</v>
      </c>
      <c r="O140" s="26">
        <f t="shared" si="9"/>
        <v>1</v>
      </c>
      <c r="P140" s="26">
        <f t="shared" si="10"/>
        <v>0</v>
      </c>
      <c r="Q140" s="26">
        <f t="shared" si="11"/>
        <v>1</v>
      </c>
      <c r="R140" s="26">
        <v>1</v>
      </c>
      <c r="S140" s="26">
        <v>1</v>
      </c>
    </row>
    <row r="141" spans="1:19">
      <c r="A141">
        <v>2017</v>
      </c>
      <c r="B141" s="1">
        <v>46274</v>
      </c>
      <c r="C141" t="s">
        <v>42</v>
      </c>
      <c r="D141">
        <v>14.5</v>
      </c>
      <c r="E141" t="s">
        <v>92</v>
      </c>
      <c r="F141">
        <v>0</v>
      </c>
      <c r="H141">
        <v>1</v>
      </c>
      <c r="I141" t="s">
        <v>15</v>
      </c>
      <c r="J141" t="s">
        <v>16</v>
      </c>
      <c r="K141">
        <v>41</v>
      </c>
      <c r="L141">
        <v>10</v>
      </c>
      <c r="M141" s="25">
        <v>31</v>
      </c>
      <c r="N141" s="26">
        <f t="shared" si="8"/>
        <v>1</v>
      </c>
      <c r="O141" s="26">
        <f t="shared" si="9"/>
        <v>0</v>
      </c>
      <c r="P141" s="26">
        <f t="shared" si="10"/>
        <v>0</v>
      </c>
      <c r="Q141" s="26">
        <f t="shared" si="11"/>
        <v>0</v>
      </c>
      <c r="R141" s="26">
        <v>0</v>
      </c>
      <c r="S141" s="26">
        <v>1</v>
      </c>
    </row>
    <row r="142" spans="1:19">
      <c r="A142">
        <v>2017</v>
      </c>
      <c r="B142" s="1">
        <v>46281</v>
      </c>
      <c r="C142" t="s">
        <v>13</v>
      </c>
      <c r="D142">
        <v>18</v>
      </c>
      <c r="E142" t="s">
        <v>79</v>
      </c>
      <c r="F142">
        <v>0</v>
      </c>
      <c r="H142">
        <v>1</v>
      </c>
      <c r="I142" t="s">
        <v>15</v>
      </c>
      <c r="J142" t="s">
        <v>16</v>
      </c>
      <c r="K142">
        <v>41</v>
      </c>
      <c r="L142">
        <v>23</v>
      </c>
      <c r="M142" s="25">
        <v>18</v>
      </c>
      <c r="N142" s="26">
        <f t="shared" si="8"/>
        <v>1</v>
      </c>
      <c r="O142" s="26">
        <f t="shared" si="9"/>
        <v>0</v>
      </c>
      <c r="P142" s="26">
        <f t="shared" si="10"/>
        <v>0</v>
      </c>
      <c r="Q142" s="26">
        <f t="shared" si="11"/>
        <v>1</v>
      </c>
      <c r="R142" s="26">
        <v>0</v>
      </c>
      <c r="S142" s="26">
        <v>1</v>
      </c>
    </row>
    <row r="143" spans="1:19">
      <c r="A143">
        <v>2017</v>
      </c>
      <c r="B143" s="1">
        <v>46288</v>
      </c>
      <c r="C143" t="s">
        <v>42</v>
      </c>
      <c r="D143">
        <v>14.5</v>
      </c>
      <c r="E143" t="s">
        <v>18</v>
      </c>
      <c r="F143">
        <v>0</v>
      </c>
      <c r="H143">
        <v>0</v>
      </c>
      <c r="I143" t="s">
        <v>19</v>
      </c>
      <c r="J143" t="s">
        <v>16</v>
      </c>
      <c r="K143">
        <v>59</v>
      </c>
      <c r="L143">
        <v>0</v>
      </c>
      <c r="M143" s="25">
        <v>59</v>
      </c>
      <c r="N143" s="26">
        <f t="shared" si="8"/>
        <v>0</v>
      </c>
      <c r="O143" s="26">
        <f t="shared" si="9"/>
        <v>0</v>
      </c>
      <c r="P143" s="26">
        <f t="shared" si="10"/>
        <v>0</v>
      </c>
      <c r="Q143" s="26">
        <f t="shared" si="11"/>
        <v>0</v>
      </c>
      <c r="R143" s="26">
        <v>0</v>
      </c>
      <c r="S143" s="26">
        <v>0</v>
      </c>
    </row>
    <row r="144" spans="1:19">
      <c r="A144">
        <v>2017</v>
      </c>
      <c r="B144" s="1">
        <v>46295</v>
      </c>
      <c r="C144" t="s">
        <v>93</v>
      </c>
      <c r="D144">
        <v>20</v>
      </c>
      <c r="E144" t="s">
        <v>30</v>
      </c>
      <c r="F144">
        <v>0</v>
      </c>
      <c r="H144">
        <v>0</v>
      </c>
      <c r="I144" t="s">
        <v>15</v>
      </c>
      <c r="J144" t="s">
        <v>16</v>
      </c>
      <c r="K144">
        <v>66</v>
      </c>
      <c r="L144">
        <v>3</v>
      </c>
      <c r="M144" s="25">
        <v>63</v>
      </c>
      <c r="N144" s="26">
        <f t="shared" si="8"/>
        <v>1</v>
      </c>
      <c r="O144" s="26">
        <f t="shared" si="9"/>
        <v>0</v>
      </c>
      <c r="P144" s="26">
        <f t="shared" si="10"/>
        <v>0</v>
      </c>
      <c r="Q144" s="26">
        <f t="shared" si="11"/>
        <v>1</v>
      </c>
      <c r="R144" s="26">
        <v>0</v>
      </c>
      <c r="S144" s="26">
        <v>0</v>
      </c>
    </row>
    <row r="145" spans="1:19">
      <c r="A145">
        <v>2017</v>
      </c>
      <c r="B145" s="1">
        <v>46302</v>
      </c>
      <c r="C145" t="s">
        <v>62</v>
      </c>
      <c r="D145">
        <v>18.25</v>
      </c>
      <c r="E145" t="s">
        <v>76</v>
      </c>
      <c r="F145">
        <v>0</v>
      </c>
      <c r="H145">
        <v>0</v>
      </c>
      <c r="I145" t="s">
        <v>19</v>
      </c>
      <c r="J145" t="s">
        <v>16</v>
      </c>
      <c r="K145">
        <v>27</v>
      </c>
      <c r="L145">
        <v>19</v>
      </c>
      <c r="M145" s="25">
        <v>8</v>
      </c>
      <c r="N145" s="26">
        <f t="shared" si="8"/>
        <v>0</v>
      </c>
      <c r="O145" s="26">
        <f t="shared" si="9"/>
        <v>0</v>
      </c>
      <c r="P145" s="26">
        <f t="shared" si="10"/>
        <v>0</v>
      </c>
      <c r="Q145" s="26">
        <f t="shared" si="11"/>
        <v>1</v>
      </c>
      <c r="R145" s="26">
        <v>0</v>
      </c>
      <c r="S145" s="26">
        <v>0</v>
      </c>
    </row>
    <row r="146" spans="1:19">
      <c r="A146">
        <v>2017</v>
      </c>
      <c r="B146" s="1">
        <v>46309</v>
      </c>
      <c r="C146" t="s">
        <v>62</v>
      </c>
      <c r="D146">
        <v>18.25</v>
      </c>
      <c r="E146" t="s">
        <v>21</v>
      </c>
      <c r="F146">
        <v>0</v>
      </c>
      <c r="H146">
        <v>0</v>
      </c>
      <c r="I146" t="s">
        <v>15</v>
      </c>
      <c r="J146" t="s">
        <v>16</v>
      </c>
      <c r="K146">
        <v>41</v>
      </c>
      <c r="L146">
        <v>9</v>
      </c>
      <c r="M146" s="25">
        <v>32</v>
      </c>
      <c r="N146" s="26">
        <f t="shared" si="8"/>
        <v>1</v>
      </c>
      <c r="O146" s="26">
        <f t="shared" si="9"/>
        <v>0</v>
      </c>
      <c r="P146" s="26">
        <f t="shared" si="10"/>
        <v>0</v>
      </c>
      <c r="Q146" s="26">
        <f t="shared" si="11"/>
        <v>1</v>
      </c>
      <c r="R146" s="26">
        <v>0</v>
      </c>
      <c r="S146" s="26">
        <v>0</v>
      </c>
    </row>
    <row r="147" spans="1:19">
      <c r="A147">
        <v>2017</v>
      </c>
      <c r="B147" s="1">
        <v>46316</v>
      </c>
      <c r="C147" t="s">
        <v>42</v>
      </c>
      <c r="D147">
        <v>14.5</v>
      </c>
      <c r="E147" t="s">
        <v>31</v>
      </c>
      <c r="F147">
        <v>0</v>
      </c>
      <c r="H147">
        <v>0</v>
      </c>
      <c r="I147" t="s">
        <v>15</v>
      </c>
      <c r="J147" t="s">
        <v>16</v>
      </c>
      <c r="K147">
        <v>45</v>
      </c>
      <c r="L147">
        <v>7</v>
      </c>
      <c r="M147" s="25">
        <v>38</v>
      </c>
      <c r="N147" s="26">
        <f t="shared" si="8"/>
        <v>1</v>
      </c>
      <c r="O147" s="26">
        <f t="shared" si="9"/>
        <v>0</v>
      </c>
      <c r="P147" s="26">
        <f t="shared" si="10"/>
        <v>0</v>
      </c>
      <c r="Q147" s="26">
        <f t="shared" si="11"/>
        <v>0</v>
      </c>
      <c r="R147" s="26">
        <v>0</v>
      </c>
      <c r="S147" s="26">
        <v>0</v>
      </c>
    </row>
    <row r="148" spans="1:19">
      <c r="A148">
        <v>2017</v>
      </c>
      <c r="B148" s="1">
        <v>46330</v>
      </c>
      <c r="C148" t="s">
        <v>36</v>
      </c>
      <c r="D148">
        <v>19</v>
      </c>
      <c r="E148" t="s">
        <v>32</v>
      </c>
      <c r="F148">
        <v>1</v>
      </c>
      <c r="G148">
        <v>19</v>
      </c>
      <c r="H148">
        <v>0</v>
      </c>
      <c r="I148" t="s">
        <v>15</v>
      </c>
      <c r="J148" t="s">
        <v>16</v>
      </c>
      <c r="K148">
        <v>24</v>
      </c>
      <c r="L148">
        <v>10</v>
      </c>
      <c r="M148" s="25">
        <v>14</v>
      </c>
      <c r="N148" s="26">
        <f t="shared" si="8"/>
        <v>1</v>
      </c>
      <c r="O148" s="26">
        <f t="shared" si="9"/>
        <v>0</v>
      </c>
      <c r="P148" s="26">
        <f t="shared" si="10"/>
        <v>0</v>
      </c>
      <c r="Q148" s="26">
        <f t="shared" si="11"/>
        <v>1</v>
      </c>
      <c r="R148" s="26">
        <v>1</v>
      </c>
      <c r="S148" s="26">
        <v>0</v>
      </c>
    </row>
    <row r="149" spans="1:19">
      <c r="A149">
        <v>2017</v>
      </c>
      <c r="B149" s="1">
        <v>46337</v>
      </c>
      <c r="C149" t="s">
        <v>13</v>
      </c>
      <c r="D149">
        <v>18</v>
      </c>
      <c r="E149" t="s">
        <v>33</v>
      </c>
      <c r="F149">
        <v>1</v>
      </c>
      <c r="G149">
        <v>16</v>
      </c>
      <c r="H149">
        <v>0</v>
      </c>
      <c r="I149" t="s">
        <v>19</v>
      </c>
      <c r="J149" t="s">
        <v>16</v>
      </c>
      <c r="K149">
        <v>31</v>
      </c>
      <c r="L149">
        <v>24</v>
      </c>
      <c r="M149" s="25">
        <v>7</v>
      </c>
      <c r="N149" s="26">
        <f t="shared" si="8"/>
        <v>0</v>
      </c>
      <c r="O149" s="26">
        <f t="shared" si="9"/>
        <v>0</v>
      </c>
      <c r="P149" s="26">
        <f t="shared" si="10"/>
        <v>0</v>
      </c>
      <c r="Q149" s="26">
        <f t="shared" si="11"/>
        <v>1</v>
      </c>
      <c r="R149" s="26">
        <v>1</v>
      </c>
      <c r="S149" s="26">
        <v>0</v>
      </c>
    </row>
    <row r="150" spans="1:19">
      <c r="A150">
        <v>2017</v>
      </c>
      <c r="B150" s="1">
        <v>46344</v>
      </c>
      <c r="C150" t="s">
        <v>83</v>
      </c>
      <c r="D150">
        <v>11</v>
      </c>
      <c r="E150" t="s">
        <v>94</v>
      </c>
      <c r="F150">
        <v>0</v>
      </c>
      <c r="H150">
        <v>1</v>
      </c>
      <c r="I150" t="s">
        <v>15</v>
      </c>
      <c r="J150" t="s">
        <v>16</v>
      </c>
      <c r="K150">
        <v>56</v>
      </c>
      <c r="L150">
        <v>0</v>
      </c>
      <c r="M150" s="25">
        <v>56</v>
      </c>
      <c r="N150" s="26">
        <f t="shared" si="8"/>
        <v>1</v>
      </c>
      <c r="O150" s="26">
        <f t="shared" si="9"/>
        <v>0</v>
      </c>
      <c r="P150" s="26">
        <f t="shared" si="10"/>
        <v>1</v>
      </c>
      <c r="Q150" s="26">
        <f t="shared" si="11"/>
        <v>0</v>
      </c>
      <c r="R150" s="26">
        <v>0</v>
      </c>
      <c r="S150" s="26">
        <v>1</v>
      </c>
    </row>
    <row r="151" spans="1:19">
      <c r="A151">
        <v>2017</v>
      </c>
      <c r="B151" s="1">
        <v>46351</v>
      </c>
      <c r="C151" t="s">
        <v>42</v>
      </c>
      <c r="D151">
        <v>14.5</v>
      </c>
      <c r="E151" t="s">
        <v>37</v>
      </c>
      <c r="F151">
        <v>1</v>
      </c>
      <c r="G151">
        <v>6</v>
      </c>
      <c r="H151">
        <v>0</v>
      </c>
      <c r="I151" t="s">
        <v>19</v>
      </c>
      <c r="J151" t="s">
        <v>24</v>
      </c>
      <c r="K151">
        <v>14</v>
      </c>
      <c r="L151">
        <v>26</v>
      </c>
      <c r="M151" s="25">
        <v>-12</v>
      </c>
      <c r="N151" s="26">
        <f t="shared" si="8"/>
        <v>0</v>
      </c>
      <c r="O151" s="26">
        <f t="shared" si="9"/>
        <v>0</v>
      </c>
      <c r="P151" s="26">
        <f t="shared" si="10"/>
        <v>0</v>
      </c>
      <c r="Q151" s="26">
        <f t="shared" si="11"/>
        <v>0</v>
      </c>
      <c r="R151" s="26">
        <v>1</v>
      </c>
      <c r="S151" s="26">
        <v>0</v>
      </c>
    </row>
    <row r="152" spans="1:19">
      <c r="A152">
        <v>2017</v>
      </c>
      <c r="B152" s="2">
        <v>43101</v>
      </c>
      <c r="C152" t="s">
        <v>75</v>
      </c>
      <c r="D152">
        <v>19.75</v>
      </c>
      <c r="E152" t="s">
        <v>39</v>
      </c>
      <c r="F152">
        <v>1</v>
      </c>
      <c r="G152">
        <v>1</v>
      </c>
      <c r="H152">
        <v>1</v>
      </c>
      <c r="I152" t="s">
        <v>27</v>
      </c>
      <c r="J152" t="s">
        <v>16</v>
      </c>
      <c r="K152">
        <v>24</v>
      </c>
      <c r="L152">
        <v>6</v>
      </c>
      <c r="M152" s="25">
        <v>18</v>
      </c>
      <c r="N152" s="26">
        <f t="shared" si="8"/>
        <v>0</v>
      </c>
      <c r="O152" s="26">
        <f t="shared" si="9"/>
        <v>1</v>
      </c>
      <c r="P152" s="26">
        <f t="shared" si="10"/>
        <v>0</v>
      </c>
      <c r="Q152" s="26">
        <f t="shared" si="11"/>
        <v>1</v>
      </c>
      <c r="R152" s="26">
        <v>1</v>
      </c>
      <c r="S152" s="26">
        <v>1</v>
      </c>
    </row>
    <row r="153" spans="1:19">
      <c r="A153">
        <v>2017</v>
      </c>
      <c r="B153" s="2">
        <v>43108</v>
      </c>
      <c r="C153" t="s">
        <v>71</v>
      </c>
      <c r="D153">
        <v>19.5</v>
      </c>
      <c r="E153" t="s">
        <v>23</v>
      </c>
      <c r="F153">
        <v>1</v>
      </c>
      <c r="G153">
        <v>3</v>
      </c>
      <c r="H153">
        <v>0</v>
      </c>
      <c r="I153" t="s">
        <v>27</v>
      </c>
      <c r="J153" t="s">
        <v>16</v>
      </c>
      <c r="K153">
        <v>26</v>
      </c>
      <c r="L153">
        <v>23</v>
      </c>
      <c r="M153" s="25">
        <v>3</v>
      </c>
      <c r="N153" s="26">
        <f t="shared" si="8"/>
        <v>0</v>
      </c>
      <c r="O153" s="26">
        <f t="shared" si="9"/>
        <v>1</v>
      </c>
      <c r="P153" s="26">
        <f t="shared" si="10"/>
        <v>0</v>
      </c>
      <c r="Q153" s="26">
        <f t="shared" si="11"/>
        <v>1</v>
      </c>
      <c r="R153" s="26">
        <v>1</v>
      </c>
      <c r="S153" s="26">
        <v>0</v>
      </c>
    </row>
    <row r="154" spans="1:19">
      <c r="A154">
        <v>2018</v>
      </c>
      <c r="B154" s="1">
        <v>46266</v>
      </c>
      <c r="C154" t="s">
        <v>36</v>
      </c>
      <c r="D154">
        <v>19</v>
      </c>
      <c r="E154" t="s">
        <v>95</v>
      </c>
      <c r="F154">
        <v>0</v>
      </c>
      <c r="H154">
        <v>1</v>
      </c>
      <c r="I154" t="s">
        <v>27</v>
      </c>
      <c r="J154" t="s">
        <v>16</v>
      </c>
      <c r="K154">
        <v>51</v>
      </c>
      <c r="L154">
        <v>14</v>
      </c>
      <c r="M154" s="25">
        <v>37</v>
      </c>
      <c r="N154" s="26">
        <f t="shared" si="8"/>
        <v>0</v>
      </c>
      <c r="O154" s="26">
        <f t="shared" si="9"/>
        <v>1</v>
      </c>
      <c r="P154" s="26">
        <f t="shared" si="10"/>
        <v>0</v>
      </c>
      <c r="Q154" s="26">
        <f t="shared" si="11"/>
        <v>1</v>
      </c>
      <c r="R154" s="26">
        <v>0</v>
      </c>
      <c r="S154" s="26">
        <v>1</v>
      </c>
    </row>
    <row r="155" spans="1:19">
      <c r="A155">
        <v>2018</v>
      </c>
      <c r="B155" s="1">
        <v>46273</v>
      </c>
      <c r="C155" t="s">
        <v>42</v>
      </c>
      <c r="D155">
        <v>14.5</v>
      </c>
      <c r="E155" t="s">
        <v>44</v>
      </c>
      <c r="F155">
        <v>0</v>
      </c>
      <c r="H155">
        <v>1</v>
      </c>
      <c r="I155" t="s">
        <v>15</v>
      </c>
      <c r="J155" t="s">
        <v>16</v>
      </c>
      <c r="K155">
        <v>57</v>
      </c>
      <c r="L155">
        <v>7</v>
      </c>
      <c r="M155" s="25">
        <v>50</v>
      </c>
      <c r="N155" s="26">
        <f t="shared" si="8"/>
        <v>1</v>
      </c>
      <c r="O155" s="26">
        <f t="shared" si="9"/>
        <v>0</v>
      </c>
      <c r="P155" s="26">
        <f t="shared" si="10"/>
        <v>0</v>
      </c>
      <c r="Q155" s="26">
        <f t="shared" si="11"/>
        <v>0</v>
      </c>
      <c r="R155" s="26">
        <v>0</v>
      </c>
      <c r="S155" s="26">
        <v>1</v>
      </c>
    </row>
    <row r="156" spans="1:19">
      <c r="A156">
        <v>2018</v>
      </c>
      <c r="B156" s="1">
        <v>46280</v>
      </c>
      <c r="C156" t="s">
        <v>13</v>
      </c>
      <c r="D156">
        <v>18</v>
      </c>
      <c r="E156" t="s">
        <v>30</v>
      </c>
      <c r="F156">
        <v>0</v>
      </c>
      <c r="H156">
        <v>0</v>
      </c>
      <c r="I156" t="s">
        <v>19</v>
      </c>
      <c r="J156" t="s">
        <v>16</v>
      </c>
      <c r="K156">
        <v>62</v>
      </c>
      <c r="L156">
        <v>7</v>
      </c>
      <c r="M156" s="25">
        <v>55</v>
      </c>
      <c r="N156" s="26">
        <f t="shared" si="8"/>
        <v>0</v>
      </c>
      <c r="O156" s="26">
        <f t="shared" si="9"/>
        <v>0</v>
      </c>
      <c r="P156" s="26">
        <f t="shared" si="10"/>
        <v>0</v>
      </c>
      <c r="Q156" s="26">
        <f t="shared" si="11"/>
        <v>1</v>
      </c>
      <c r="R156" s="26">
        <v>0</v>
      </c>
      <c r="S156" s="26">
        <v>0</v>
      </c>
    </row>
    <row r="157" spans="1:19">
      <c r="A157">
        <v>2018</v>
      </c>
      <c r="B157" s="1">
        <v>46287</v>
      </c>
      <c r="C157" t="s">
        <v>42</v>
      </c>
      <c r="D157">
        <v>14.5</v>
      </c>
      <c r="E157" t="s">
        <v>76</v>
      </c>
      <c r="F157">
        <v>1</v>
      </c>
      <c r="G157">
        <v>22</v>
      </c>
      <c r="H157">
        <v>0</v>
      </c>
      <c r="I157" t="s">
        <v>15</v>
      </c>
      <c r="J157" t="s">
        <v>16</v>
      </c>
      <c r="K157">
        <v>45</v>
      </c>
      <c r="L157">
        <v>23</v>
      </c>
      <c r="M157" s="25">
        <v>22</v>
      </c>
      <c r="N157" s="26">
        <f t="shared" si="8"/>
        <v>1</v>
      </c>
      <c r="O157" s="26">
        <f t="shared" si="9"/>
        <v>0</v>
      </c>
      <c r="P157" s="26">
        <f t="shared" si="10"/>
        <v>0</v>
      </c>
      <c r="Q157" s="26">
        <f t="shared" si="11"/>
        <v>0</v>
      </c>
      <c r="R157" s="26">
        <v>1</v>
      </c>
      <c r="S157" s="26">
        <v>0</v>
      </c>
    </row>
    <row r="158" spans="1:19">
      <c r="A158">
        <v>2018</v>
      </c>
      <c r="B158" s="1">
        <v>46294</v>
      </c>
      <c r="C158" t="s">
        <v>83</v>
      </c>
      <c r="D158">
        <v>11</v>
      </c>
      <c r="E158" t="s">
        <v>96</v>
      </c>
      <c r="F158">
        <v>0</v>
      </c>
      <c r="H158">
        <v>1</v>
      </c>
      <c r="I158" t="s">
        <v>15</v>
      </c>
      <c r="J158" t="s">
        <v>16</v>
      </c>
      <c r="K158">
        <v>56</v>
      </c>
      <c r="L158">
        <v>14</v>
      </c>
      <c r="M158" s="25">
        <v>42</v>
      </c>
      <c r="N158" s="26">
        <f t="shared" si="8"/>
        <v>1</v>
      </c>
      <c r="O158" s="26">
        <f t="shared" si="9"/>
        <v>0</v>
      </c>
      <c r="P158" s="26">
        <f t="shared" si="10"/>
        <v>1</v>
      </c>
      <c r="Q158" s="26">
        <f t="shared" si="11"/>
        <v>0</v>
      </c>
      <c r="R158" s="26">
        <v>0</v>
      </c>
      <c r="S158" s="26">
        <v>1</v>
      </c>
    </row>
    <row r="159" spans="1:19">
      <c r="A159">
        <v>2018</v>
      </c>
      <c r="B159" s="1">
        <v>46301</v>
      </c>
      <c r="C159" t="s">
        <v>83</v>
      </c>
      <c r="D159">
        <v>11</v>
      </c>
      <c r="E159" t="s">
        <v>21</v>
      </c>
      <c r="F159">
        <v>0</v>
      </c>
      <c r="H159">
        <v>0</v>
      </c>
      <c r="I159" t="s">
        <v>19</v>
      </c>
      <c r="J159" t="s">
        <v>16</v>
      </c>
      <c r="K159">
        <v>65</v>
      </c>
      <c r="L159">
        <v>31</v>
      </c>
      <c r="M159" s="25">
        <v>34</v>
      </c>
      <c r="N159" s="26">
        <f t="shared" si="8"/>
        <v>0</v>
      </c>
      <c r="O159" s="26">
        <f t="shared" si="9"/>
        <v>0</v>
      </c>
      <c r="P159" s="26">
        <f t="shared" si="10"/>
        <v>1</v>
      </c>
      <c r="Q159" s="26">
        <f t="shared" si="11"/>
        <v>0</v>
      </c>
      <c r="R159" s="26">
        <v>0</v>
      </c>
      <c r="S159" s="26">
        <v>0</v>
      </c>
    </row>
    <row r="160" spans="1:19">
      <c r="A160">
        <v>2018</v>
      </c>
      <c r="B160" s="1">
        <v>46308</v>
      </c>
      <c r="C160" t="s">
        <v>13</v>
      </c>
      <c r="D160">
        <v>18</v>
      </c>
      <c r="E160" t="s">
        <v>74</v>
      </c>
      <c r="F160">
        <v>0</v>
      </c>
      <c r="H160">
        <v>0</v>
      </c>
      <c r="I160" t="s">
        <v>15</v>
      </c>
      <c r="J160" t="s">
        <v>16</v>
      </c>
      <c r="K160">
        <v>39</v>
      </c>
      <c r="L160">
        <v>10</v>
      </c>
      <c r="M160" s="25">
        <v>29</v>
      </c>
      <c r="N160" s="26">
        <f t="shared" si="8"/>
        <v>1</v>
      </c>
      <c r="O160" s="26">
        <f t="shared" si="9"/>
        <v>0</v>
      </c>
      <c r="P160" s="26">
        <f t="shared" si="10"/>
        <v>0</v>
      </c>
      <c r="Q160" s="26">
        <f t="shared" si="11"/>
        <v>1</v>
      </c>
      <c r="R160" s="26">
        <v>0</v>
      </c>
      <c r="S160" s="26">
        <v>0</v>
      </c>
    </row>
    <row r="161" spans="1:19">
      <c r="A161">
        <v>2018</v>
      </c>
      <c r="B161" s="1">
        <v>46315</v>
      </c>
      <c r="C161" t="s">
        <v>42</v>
      </c>
      <c r="D161">
        <v>14.5</v>
      </c>
      <c r="E161" t="s">
        <v>31</v>
      </c>
      <c r="F161">
        <v>0</v>
      </c>
      <c r="H161">
        <v>0</v>
      </c>
      <c r="I161" t="s">
        <v>19</v>
      </c>
      <c r="J161" t="s">
        <v>16</v>
      </c>
      <c r="K161">
        <v>58</v>
      </c>
      <c r="L161">
        <v>21</v>
      </c>
      <c r="M161" s="25">
        <v>37</v>
      </c>
      <c r="N161" s="26">
        <f t="shared" si="8"/>
        <v>0</v>
      </c>
      <c r="O161" s="26">
        <f t="shared" si="9"/>
        <v>0</v>
      </c>
      <c r="P161" s="26">
        <f t="shared" si="10"/>
        <v>0</v>
      </c>
      <c r="Q161" s="26">
        <f t="shared" si="11"/>
        <v>0</v>
      </c>
      <c r="R161" s="26">
        <v>0</v>
      </c>
      <c r="S161" s="26">
        <v>0</v>
      </c>
    </row>
    <row r="162" spans="1:19">
      <c r="A162">
        <v>2018</v>
      </c>
      <c r="B162" s="1">
        <v>46329</v>
      </c>
      <c r="C162" t="s">
        <v>36</v>
      </c>
      <c r="D162">
        <v>19</v>
      </c>
      <c r="E162" t="s">
        <v>32</v>
      </c>
      <c r="F162">
        <v>1</v>
      </c>
      <c r="G162">
        <v>3</v>
      </c>
      <c r="H162">
        <v>0</v>
      </c>
      <c r="I162" t="s">
        <v>19</v>
      </c>
      <c r="J162" t="s">
        <v>16</v>
      </c>
      <c r="K162">
        <v>29</v>
      </c>
      <c r="L162">
        <v>0</v>
      </c>
      <c r="M162" s="25">
        <v>29</v>
      </c>
      <c r="N162" s="26">
        <f t="shared" si="8"/>
        <v>0</v>
      </c>
      <c r="O162" s="26">
        <f t="shared" si="9"/>
        <v>0</v>
      </c>
      <c r="P162" s="26">
        <f t="shared" si="10"/>
        <v>0</v>
      </c>
      <c r="Q162" s="26">
        <f t="shared" si="11"/>
        <v>1</v>
      </c>
      <c r="R162" s="26">
        <v>1</v>
      </c>
      <c r="S162" s="26">
        <v>0</v>
      </c>
    </row>
    <row r="163" spans="1:19">
      <c r="A163">
        <v>2018</v>
      </c>
      <c r="B163" s="1">
        <v>46336</v>
      </c>
      <c r="C163" t="s">
        <v>42</v>
      </c>
      <c r="D163">
        <v>14.5</v>
      </c>
      <c r="E163" t="s">
        <v>33</v>
      </c>
      <c r="F163">
        <v>1</v>
      </c>
      <c r="G163">
        <v>16</v>
      </c>
      <c r="H163">
        <v>0</v>
      </c>
      <c r="I163" t="s">
        <v>15</v>
      </c>
      <c r="J163" t="s">
        <v>16</v>
      </c>
      <c r="K163">
        <v>24</v>
      </c>
      <c r="L163">
        <v>0</v>
      </c>
      <c r="M163" s="25">
        <v>24</v>
      </c>
      <c r="N163" s="26">
        <f t="shared" si="8"/>
        <v>1</v>
      </c>
      <c r="O163" s="26">
        <f t="shared" si="9"/>
        <v>0</v>
      </c>
      <c r="P163" s="26">
        <f t="shared" si="10"/>
        <v>0</v>
      </c>
      <c r="Q163" s="26">
        <f t="shared" si="11"/>
        <v>0</v>
      </c>
      <c r="R163" s="26">
        <v>1</v>
      </c>
      <c r="S163" s="26">
        <v>0</v>
      </c>
    </row>
    <row r="164" spans="1:19">
      <c r="A164">
        <v>2018</v>
      </c>
      <c r="B164" s="1">
        <v>46343</v>
      </c>
      <c r="C164" t="s">
        <v>83</v>
      </c>
      <c r="D164">
        <v>11</v>
      </c>
      <c r="E164" t="s">
        <v>97</v>
      </c>
      <c r="F164">
        <v>0</v>
      </c>
      <c r="H164">
        <v>1</v>
      </c>
      <c r="I164" t="s">
        <v>15</v>
      </c>
      <c r="J164" t="s">
        <v>16</v>
      </c>
      <c r="K164">
        <v>50</v>
      </c>
      <c r="L164">
        <v>17</v>
      </c>
      <c r="M164" s="25">
        <v>33</v>
      </c>
      <c r="N164" s="26">
        <f t="shared" si="8"/>
        <v>1</v>
      </c>
      <c r="O164" s="26">
        <f t="shared" si="9"/>
        <v>0</v>
      </c>
      <c r="P164" s="26">
        <f t="shared" si="10"/>
        <v>1</v>
      </c>
      <c r="Q164" s="26">
        <f t="shared" si="11"/>
        <v>0</v>
      </c>
      <c r="R164" s="26">
        <v>0</v>
      </c>
      <c r="S164" s="26">
        <v>1</v>
      </c>
    </row>
    <row r="165" spans="1:19">
      <c r="A165">
        <v>2018</v>
      </c>
      <c r="B165" s="1">
        <v>46350</v>
      </c>
      <c r="C165" t="s">
        <v>42</v>
      </c>
      <c r="D165">
        <v>14.5</v>
      </c>
      <c r="E165" t="s">
        <v>37</v>
      </c>
      <c r="F165">
        <v>0</v>
      </c>
      <c r="H165">
        <v>0</v>
      </c>
      <c r="I165" t="s">
        <v>15</v>
      </c>
      <c r="J165" t="s">
        <v>16</v>
      </c>
      <c r="K165">
        <v>52</v>
      </c>
      <c r="L165">
        <v>21</v>
      </c>
      <c r="M165" s="25">
        <v>31</v>
      </c>
      <c r="N165" s="26">
        <f t="shared" si="8"/>
        <v>1</v>
      </c>
      <c r="O165" s="26">
        <f t="shared" si="9"/>
        <v>0</v>
      </c>
      <c r="P165" s="26">
        <f t="shared" si="10"/>
        <v>0</v>
      </c>
      <c r="Q165" s="26">
        <f t="shared" si="11"/>
        <v>0</v>
      </c>
      <c r="R165" s="26">
        <v>0</v>
      </c>
      <c r="S165" s="26">
        <v>0</v>
      </c>
    </row>
    <row r="166" spans="1:19">
      <c r="A166">
        <v>2018</v>
      </c>
      <c r="B166" s="1">
        <v>46357</v>
      </c>
      <c r="C166" t="s">
        <v>45</v>
      </c>
      <c r="D166">
        <v>15</v>
      </c>
      <c r="E166" t="s">
        <v>23</v>
      </c>
      <c r="F166">
        <v>1</v>
      </c>
      <c r="G166">
        <v>4</v>
      </c>
      <c r="H166">
        <v>0</v>
      </c>
      <c r="I166" t="s">
        <v>27</v>
      </c>
      <c r="J166" t="s">
        <v>16</v>
      </c>
      <c r="K166">
        <v>35</v>
      </c>
      <c r="L166">
        <v>28</v>
      </c>
      <c r="M166" s="25">
        <v>7</v>
      </c>
      <c r="N166" s="26">
        <f t="shared" si="8"/>
        <v>0</v>
      </c>
      <c r="O166" s="26">
        <f t="shared" si="9"/>
        <v>1</v>
      </c>
      <c r="P166" s="26">
        <f t="shared" si="10"/>
        <v>0</v>
      </c>
      <c r="Q166" s="26">
        <f t="shared" si="11"/>
        <v>0</v>
      </c>
      <c r="R166" s="26">
        <v>1</v>
      </c>
      <c r="S166" s="26">
        <v>0</v>
      </c>
    </row>
    <row r="167" spans="1:19">
      <c r="A167">
        <v>2018</v>
      </c>
      <c r="B167" s="1">
        <v>46385</v>
      </c>
      <c r="C167" t="s">
        <v>36</v>
      </c>
      <c r="D167">
        <v>19</v>
      </c>
      <c r="E167" t="s">
        <v>81</v>
      </c>
      <c r="F167">
        <v>1</v>
      </c>
      <c r="G167">
        <v>4</v>
      </c>
      <c r="H167">
        <v>1</v>
      </c>
      <c r="I167" t="s">
        <v>27</v>
      </c>
      <c r="J167" t="s">
        <v>16</v>
      </c>
      <c r="K167">
        <v>45</v>
      </c>
      <c r="L167">
        <v>34</v>
      </c>
      <c r="M167" s="25">
        <v>11</v>
      </c>
      <c r="N167" s="26">
        <f t="shared" si="8"/>
        <v>0</v>
      </c>
      <c r="O167" s="26">
        <f t="shared" si="9"/>
        <v>1</v>
      </c>
      <c r="P167" s="26">
        <f t="shared" si="10"/>
        <v>0</v>
      </c>
      <c r="Q167" s="26">
        <f t="shared" si="11"/>
        <v>1</v>
      </c>
      <c r="R167" s="26">
        <v>1</v>
      </c>
      <c r="S167" s="26">
        <v>1</v>
      </c>
    </row>
    <row r="168" spans="1:19">
      <c r="A168">
        <v>2018</v>
      </c>
      <c r="B168" s="2">
        <v>43472</v>
      </c>
      <c r="C168" t="s">
        <v>36</v>
      </c>
      <c r="D168">
        <v>19</v>
      </c>
      <c r="E168" t="s">
        <v>39</v>
      </c>
      <c r="F168">
        <v>1</v>
      </c>
      <c r="G168">
        <v>2</v>
      </c>
      <c r="H168">
        <v>1</v>
      </c>
      <c r="I168" t="s">
        <v>27</v>
      </c>
      <c r="J168" t="s">
        <v>24</v>
      </c>
      <c r="K168">
        <v>16</v>
      </c>
      <c r="L168">
        <v>44</v>
      </c>
      <c r="M168" s="25">
        <v>-28</v>
      </c>
      <c r="N168" s="26">
        <f t="shared" si="8"/>
        <v>0</v>
      </c>
      <c r="O168" s="26">
        <f t="shared" si="9"/>
        <v>1</v>
      </c>
      <c r="P168" s="26">
        <f t="shared" si="10"/>
        <v>0</v>
      </c>
      <c r="Q168" s="26">
        <f t="shared" si="11"/>
        <v>1</v>
      </c>
      <c r="R168" s="26">
        <v>1</v>
      </c>
      <c r="S168" s="26">
        <v>1</v>
      </c>
    </row>
    <row r="169" spans="1:19">
      <c r="A169">
        <v>2019</v>
      </c>
      <c r="B169" s="1">
        <v>46265</v>
      </c>
      <c r="C169" t="s">
        <v>42</v>
      </c>
      <c r="D169">
        <v>14.5</v>
      </c>
      <c r="E169" t="s">
        <v>60</v>
      </c>
      <c r="F169">
        <v>0</v>
      </c>
      <c r="H169">
        <v>1</v>
      </c>
      <c r="I169" t="s">
        <v>27</v>
      </c>
      <c r="J169" t="s">
        <v>16</v>
      </c>
      <c r="K169">
        <v>42</v>
      </c>
      <c r="L169">
        <v>3</v>
      </c>
      <c r="M169" s="25">
        <v>39</v>
      </c>
      <c r="N169" s="26">
        <f t="shared" si="8"/>
        <v>0</v>
      </c>
      <c r="O169" s="26">
        <f t="shared" si="9"/>
        <v>1</v>
      </c>
      <c r="P169" s="26">
        <f t="shared" si="10"/>
        <v>0</v>
      </c>
      <c r="Q169" s="26">
        <f t="shared" si="11"/>
        <v>0</v>
      </c>
      <c r="R169" s="26">
        <v>0</v>
      </c>
      <c r="S169" s="26">
        <v>1</v>
      </c>
    </row>
    <row r="170" spans="1:19">
      <c r="A170">
        <v>2019</v>
      </c>
      <c r="B170" s="1">
        <v>46272</v>
      </c>
      <c r="C170" t="s">
        <v>45</v>
      </c>
      <c r="D170">
        <v>15</v>
      </c>
      <c r="E170" t="s">
        <v>98</v>
      </c>
      <c r="F170">
        <v>0</v>
      </c>
      <c r="H170">
        <v>1</v>
      </c>
      <c r="I170" t="s">
        <v>15</v>
      </c>
      <c r="J170" t="s">
        <v>16</v>
      </c>
      <c r="K170">
        <v>62</v>
      </c>
      <c r="L170">
        <v>10</v>
      </c>
      <c r="M170" s="25">
        <v>52</v>
      </c>
      <c r="N170" s="26">
        <f t="shared" si="8"/>
        <v>1</v>
      </c>
      <c r="O170" s="26">
        <f t="shared" si="9"/>
        <v>0</v>
      </c>
      <c r="P170" s="26">
        <f t="shared" si="10"/>
        <v>0</v>
      </c>
      <c r="Q170" s="26">
        <f t="shared" si="11"/>
        <v>0</v>
      </c>
      <c r="R170" s="26">
        <v>0</v>
      </c>
      <c r="S170" s="26">
        <v>1</v>
      </c>
    </row>
    <row r="171" spans="1:19">
      <c r="A171">
        <v>2019</v>
      </c>
      <c r="B171" s="1">
        <v>46279</v>
      </c>
      <c r="C171" t="s">
        <v>42</v>
      </c>
      <c r="D171">
        <v>14.5</v>
      </c>
      <c r="E171" t="s">
        <v>54</v>
      </c>
      <c r="F171">
        <v>0</v>
      </c>
      <c r="H171">
        <v>0</v>
      </c>
      <c r="I171" t="s">
        <v>19</v>
      </c>
      <c r="J171" t="s">
        <v>16</v>
      </c>
      <c r="K171">
        <v>47</v>
      </c>
      <c r="L171">
        <v>23</v>
      </c>
      <c r="M171" s="25">
        <v>24</v>
      </c>
      <c r="N171" s="26">
        <f t="shared" si="8"/>
        <v>0</v>
      </c>
      <c r="O171" s="26">
        <f t="shared" si="9"/>
        <v>0</v>
      </c>
      <c r="P171" s="26">
        <f t="shared" si="10"/>
        <v>0</v>
      </c>
      <c r="Q171" s="26">
        <f t="shared" si="11"/>
        <v>0</v>
      </c>
      <c r="R171" s="26">
        <v>0</v>
      </c>
      <c r="S171" s="26">
        <v>0</v>
      </c>
    </row>
    <row r="172" spans="1:19">
      <c r="A172">
        <v>2019</v>
      </c>
      <c r="B172" s="1">
        <v>46286</v>
      </c>
      <c r="C172" t="s">
        <v>83</v>
      </c>
      <c r="D172">
        <v>11</v>
      </c>
      <c r="E172" t="s">
        <v>84</v>
      </c>
      <c r="F172">
        <v>0</v>
      </c>
      <c r="H172">
        <v>1</v>
      </c>
      <c r="I172" t="s">
        <v>15</v>
      </c>
      <c r="J172" t="s">
        <v>16</v>
      </c>
      <c r="K172">
        <v>49</v>
      </c>
      <c r="L172">
        <v>7</v>
      </c>
      <c r="M172" s="25">
        <v>42</v>
      </c>
      <c r="N172" s="26">
        <f t="shared" si="8"/>
        <v>1</v>
      </c>
      <c r="O172" s="26">
        <f t="shared" si="9"/>
        <v>0</v>
      </c>
      <c r="P172" s="26">
        <f t="shared" si="10"/>
        <v>1</v>
      </c>
      <c r="Q172" s="26">
        <f t="shared" si="11"/>
        <v>0</v>
      </c>
      <c r="R172" s="26">
        <v>0</v>
      </c>
      <c r="S172" s="26">
        <v>1</v>
      </c>
    </row>
    <row r="173" spans="1:19">
      <c r="A173">
        <v>2019</v>
      </c>
      <c r="B173" s="1">
        <v>46293</v>
      </c>
      <c r="C173" t="s">
        <v>42</v>
      </c>
      <c r="D173">
        <v>14.5</v>
      </c>
      <c r="E173" t="s">
        <v>30</v>
      </c>
      <c r="F173">
        <v>0</v>
      </c>
      <c r="H173">
        <v>0</v>
      </c>
      <c r="I173" t="s">
        <v>15</v>
      </c>
      <c r="J173" t="s">
        <v>16</v>
      </c>
      <c r="K173">
        <v>59</v>
      </c>
      <c r="L173">
        <v>31</v>
      </c>
      <c r="M173" s="25">
        <v>28</v>
      </c>
      <c r="N173" s="26">
        <f t="shared" si="8"/>
        <v>1</v>
      </c>
      <c r="O173" s="26">
        <f t="shared" si="9"/>
        <v>0</v>
      </c>
      <c r="P173" s="26">
        <f t="shared" si="10"/>
        <v>0</v>
      </c>
      <c r="Q173" s="26">
        <f t="shared" si="11"/>
        <v>0</v>
      </c>
      <c r="R173" s="26">
        <v>0</v>
      </c>
      <c r="S173" s="26">
        <v>0</v>
      </c>
    </row>
    <row r="174" spans="1:19">
      <c r="A174">
        <v>2019</v>
      </c>
      <c r="B174" s="1">
        <v>46307</v>
      </c>
      <c r="C174" t="s">
        <v>42</v>
      </c>
      <c r="D174">
        <v>14.5</v>
      </c>
      <c r="E174" t="s">
        <v>76</v>
      </c>
      <c r="F174">
        <v>1</v>
      </c>
      <c r="G174">
        <v>24</v>
      </c>
      <c r="H174">
        <v>0</v>
      </c>
      <c r="I174" t="s">
        <v>19</v>
      </c>
      <c r="J174" t="s">
        <v>16</v>
      </c>
      <c r="K174">
        <v>47</v>
      </c>
      <c r="L174">
        <v>28</v>
      </c>
      <c r="M174" s="25">
        <v>19</v>
      </c>
      <c r="N174" s="26">
        <f t="shared" si="8"/>
        <v>0</v>
      </c>
      <c r="O174" s="26">
        <f t="shared" si="9"/>
        <v>0</v>
      </c>
      <c r="P174" s="26">
        <f t="shared" si="10"/>
        <v>0</v>
      </c>
      <c r="Q174" s="26">
        <f t="shared" si="11"/>
        <v>0</v>
      </c>
      <c r="R174" s="26">
        <v>1</v>
      </c>
      <c r="S174" s="26">
        <v>0</v>
      </c>
    </row>
    <row r="175" spans="1:19">
      <c r="A175">
        <v>2019</v>
      </c>
      <c r="B175" s="1">
        <v>46314</v>
      </c>
      <c r="C175" t="s">
        <v>93</v>
      </c>
      <c r="D175">
        <v>20</v>
      </c>
      <c r="E175" t="s">
        <v>31</v>
      </c>
      <c r="F175">
        <v>0</v>
      </c>
      <c r="H175">
        <v>0</v>
      </c>
      <c r="I175" t="s">
        <v>15</v>
      </c>
      <c r="J175" t="s">
        <v>16</v>
      </c>
      <c r="K175">
        <v>35</v>
      </c>
      <c r="L175">
        <v>13</v>
      </c>
      <c r="M175" s="25">
        <v>22</v>
      </c>
      <c r="N175" s="26">
        <f t="shared" si="8"/>
        <v>1</v>
      </c>
      <c r="O175" s="26">
        <f t="shared" si="9"/>
        <v>0</v>
      </c>
      <c r="P175" s="26">
        <f t="shared" si="10"/>
        <v>0</v>
      </c>
      <c r="Q175" s="26">
        <f t="shared" si="11"/>
        <v>1</v>
      </c>
      <c r="R175" s="26">
        <v>0</v>
      </c>
      <c r="S175" s="26">
        <v>0</v>
      </c>
    </row>
    <row r="176" spans="1:19">
      <c r="A176">
        <v>2019</v>
      </c>
      <c r="B176" s="1">
        <v>46321</v>
      </c>
      <c r="C176" t="s">
        <v>13</v>
      </c>
      <c r="D176">
        <v>18</v>
      </c>
      <c r="E176" t="s">
        <v>21</v>
      </c>
      <c r="F176">
        <v>0</v>
      </c>
      <c r="H176">
        <v>0</v>
      </c>
      <c r="I176" t="s">
        <v>15</v>
      </c>
      <c r="J176" t="s">
        <v>16</v>
      </c>
      <c r="K176">
        <v>48</v>
      </c>
      <c r="L176">
        <v>7</v>
      </c>
      <c r="M176" s="25">
        <v>41</v>
      </c>
      <c r="N176" s="26">
        <f t="shared" si="8"/>
        <v>1</v>
      </c>
      <c r="O176" s="26">
        <f t="shared" si="9"/>
        <v>0</v>
      </c>
      <c r="P176" s="26">
        <f t="shared" si="10"/>
        <v>0</v>
      </c>
      <c r="Q176" s="26">
        <f t="shared" si="11"/>
        <v>1</v>
      </c>
      <c r="R176" s="26">
        <v>0</v>
      </c>
      <c r="S176" s="26">
        <v>0</v>
      </c>
    </row>
    <row r="177" spans="1:19">
      <c r="A177">
        <v>2019</v>
      </c>
      <c r="B177" s="1">
        <v>46335</v>
      </c>
      <c r="C177" t="s">
        <v>42</v>
      </c>
      <c r="D177">
        <v>14.5</v>
      </c>
      <c r="E177" t="s">
        <v>32</v>
      </c>
      <c r="F177">
        <v>1</v>
      </c>
      <c r="G177">
        <v>2</v>
      </c>
      <c r="H177">
        <v>0</v>
      </c>
      <c r="I177" t="s">
        <v>15</v>
      </c>
      <c r="J177" t="s">
        <v>24</v>
      </c>
      <c r="K177">
        <v>41</v>
      </c>
      <c r="L177">
        <v>46</v>
      </c>
      <c r="M177" s="25">
        <v>-5</v>
      </c>
      <c r="N177" s="26">
        <f t="shared" si="8"/>
        <v>1</v>
      </c>
      <c r="O177" s="26">
        <f t="shared" si="9"/>
        <v>0</v>
      </c>
      <c r="P177" s="26">
        <f t="shared" si="10"/>
        <v>0</v>
      </c>
      <c r="Q177" s="26">
        <f t="shared" si="11"/>
        <v>0</v>
      </c>
      <c r="R177" s="26">
        <v>1</v>
      </c>
      <c r="S177" s="26">
        <v>0</v>
      </c>
    </row>
    <row r="178" spans="1:19">
      <c r="A178">
        <v>2019</v>
      </c>
      <c r="B178" s="1">
        <v>46342</v>
      </c>
      <c r="C178" t="s">
        <v>83</v>
      </c>
      <c r="D178">
        <v>11</v>
      </c>
      <c r="E178" t="s">
        <v>33</v>
      </c>
      <c r="F178">
        <v>0</v>
      </c>
      <c r="H178">
        <v>0</v>
      </c>
      <c r="I178" t="s">
        <v>19</v>
      </c>
      <c r="J178" t="s">
        <v>16</v>
      </c>
      <c r="K178">
        <v>38</v>
      </c>
      <c r="L178">
        <v>7</v>
      </c>
      <c r="M178" s="25">
        <v>31</v>
      </c>
      <c r="N178" s="26">
        <f t="shared" si="8"/>
        <v>0</v>
      </c>
      <c r="O178" s="26">
        <f t="shared" si="9"/>
        <v>0</v>
      </c>
      <c r="P178" s="26">
        <f t="shared" si="10"/>
        <v>1</v>
      </c>
      <c r="Q178" s="26">
        <f t="shared" si="11"/>
        <v>0</v>
      </c>
      <c r="R178" s="26">
        <v>0</v>
      </c>
      <c r="S178" s="26">
        <v>0</v>
      </c>
    </row>
    <row r="179" spans="1:19">
      <c r="A179">
        <v>2019</v>
      </c>
      <c r="B179" s="1">
        <v>46349</v>
      </c>
      <c r="C179" t="s">
        <v>83</v>
      </c>
      <c r="D179">
        <v>11</v>
      </c>
      <c r="E179" t="s">
        <v>14</v>
      </c>
      <c r="F179">
        <v>0</v>
      </c>
      <c r="H179">
        <v>1</v>
      </c>
      <c r="I179" t="s">
        <v>15</v>
      </c>
      <c r="J179" t="s">
        <v>16</v>
      </c>
      <c r="K179">
        <v>66</v>
      </c>
      <c r="L179">
        <v>3</v>
      </c>
      <c r="M179" s="25">
        <v>63</v>
      </c>
      <c r="N179" s="26">
        <f t="shared" si="8"/>
        <v>1</v>
      </c>
      <c r="O179" s="26">
        <f t="shared" si="9"/>
        <v>0</v>
      </c>
      <c r="P179" s="26">
        <f t="shared" si="10"/>
        <v>1</v>
      </c>
      <c r="Q179" s="26">
        <f t="shared" si="11"/>
        <v>0</v>
      </c>
      <c r="R179" s="26">
        <v>0</v>
      </c>
      <c r="S179" s="26">
        <v>1</v>
      </c>
    </row>
    <row r="180" spans="1:19">
      <c r="A180">
        <v>2019</v>
      </c>
      <c r="B180" s="1">
        <v>46356</v>
      </c>
      <c r="C180" t="s">
        <v>42</v>
      </c>
      <c r="D180">
        <v>14.5</v>
      </c>
      <c r="E180" t="s">
        <v>37</v>
      </c>
      <c r="F180">
        <v>1</v>
      </c>
      <c r="G180">
        <v>15</v>
      </c>
      <c r="H180">
        <v>0</v>
      </c>
      <c r="I180" t="s">
        <v>19</v>
      </c>
      <c r="J180" t="s">
        <v>24</v>
      </c>
      <c r="K180">
        <v>45</v>
      </c>
      <c r="L180">
        <v>48</v>
      </c>
      <c r="M180" s="25">
        <v>-3</v>
      </c>
      <c r="N180" s="26">
        <f t="shared" si="8"/>
        <v>0</v>
      </c>
      <c r="O180" s="26">
        <f t="shared" si="9"/>
        <v>0</v>
      </c>
      <c r="P180" s="26">
        <f t="shared" si="10"/>
        <v>0</v>
      </c>
      <c r="Q180" s="26">
        <f t="shared" si="11"/>
        <v>0</v>
      </c>
      <c r="R180" s="26">
        <v>1</v>
      </c>
      <c r="S180" s="26">
        <v>0</v>
      </c>
    </row>
    <row r="181" spans="1:19">
      <c r="A181">
        <v>2019</v>
      </c>
      <c r="B181" s="2">
        <v>43831</v>
      </c>
      <c r="C181" t="s">
        <v>99</v>
      </c>
      <c r="D181">
        <v>12</v>
      </c>
      <c r="E181" t="s">
        <v>72</v>
      </c>
      <c r="F181">
        <v>1</v>
      </c>
      <c r="G181">
        <v>14</v>
      </c>
      <c r="H181">
        <v>1</v>
      </c>
      <c r="I181" t="s">
        <v>27</v>
      </c>
      <c r="J181" t="s">
        <v>16</v>
      </c>
      <c r="K181">
        <v>35</v>
      </c>
      <c r="L181">
        <v>16</v>
      </c>
      <c r="M181" s="25">
        <v>19</v>
      </c>
      <c r="N181" s="26">
        <f t="shared" si="8"/>
        <v>0</v>
      </c>
      <c r="O181" s="26">
        <f t="shared" si="9"/>
        <v>1</v>
      </c>
      <c r="P181" s="26">
        <f t="shared" si="10"/>
        <v>0</v>
      </c>
      <c r="Q181" s="26">
        <f t="shared" si="11"/>
        <v>0</v>
      </c>
      <c r="R181" s="26">
        <v>1</v>
      </c>
      <c r="S181" s="26">
        <v>1</v>
      </c>
    </row>
    <row r="182" spans="1:19">
      <c r="A182">
        <v>2020</v>
      </c>
      <c r="B182" s="1">
        <v>46291</v>
      </c>
      <c r="C182" t="s">
        <v>13</v>
      </c>
      <c r="D182">
        <v>18</v>
      </c>
      <c r="E182" t="s">
        <v>74</v>
      </c>
      <c r="F182">
        <v>0</v>
      </c>
      <c r="H182">
        <v>0</v>
      </c>
      <c r="I182" t="s">
        <v>19</v>
      </c>
      <c r="J182" t="s">
        <v>16</v>
      </c>
      <c r="K182">
        <v>38</v>
      </c>
      <c r="L182">
        <v>19</v>
      </c>
      <c r="M182" s="25">
        <v>19</v>
      </c>
      <c r="N182" s="26">
        <f t="shared" si="8"/>
        <v>0</v>
      </c>
      <c r="O182" s="26">
        <f t="shared" si="9"/>
        <v>0</v>
      </c>
      <c r="P182" s="26">
        <f t="shared" si="10"/>
        <v>0</v>
      </c>
      <c r="Q182" s="26">
        <f t="shared" si="11"/>
        <v>1</v>
      </c>
      <c r="R182" s="26">
        <v>0</v>
      </c>
      <c r="S182" s="26">
        <v>0</v>
      </c>
    </row>
    <row r="183" spans="1:19">
      <c r="A183">
        <v>2020</v>
      </c>
      <c r="B183" s="1">
        <v>46298</v>
      </c>
      <c r="C183" t="s">
        <v>42</v>
      </c>
      <c r="D183">
        <v>14.5</v>
      </c>
      <c r="E183" t="s">
        <v>76</v>
      </c>
      <c r="F183">
        <v>1</v>
      </c>
      <c r="G183">
        <v>13</v>
      </c>
      <c r="H183">
        <v>0</v>
      </c>
      <c r="I183" t="s">
        <v>15</v>
      </c>
      <c r="J183" t="s">
        <v>16</v>
      </c>
      <c r="K183">
        <v>52</v>
      </c>
      <c r="L183">
        <v>24</v>
      </c>
      <c r="M183" s="25">
        <v>28</v>
      </c>
      <c r="N183" s="26">
        <f t="shared" si="8"/>
        <v>1</v>
      </c>
      <c r="O183" s="26">
        <f t="shared" si="9"/>
        <v>0</v>
      </c>
      <c r="P183" s="26">
        <f t="shared" si="10"/>
        <v>0</v>
      </c>
      <c r="Q183" s="26">
        <f t="shared" si="11"/>
        <v>0</v>
      </c>
      <c r="R183" s="26">
        <v>1</v>
      </c>
      <c r="S183" s="26">
        <v>0</v>
      </c>
    </row>
    <row r="184" spans="1:19">
      <c r="A184">
        <v>2020</v>
      </c>
      <c r="B184" s="1">
        <v>46305</v>
      </c>
      <c r="C184" t="s">
        <v>63</v>
      </c>
      <c r="D184">
        <v>18.5</v>
      </c>
      <c r="E184" t="s">
        <v>30</v>
      </c>
      <c r="F184">
        <v>0</v>
      </c>
      <c r="H184">
        <v>0</v>
      </c>
      <c r="I184" t="s">
        <v>19</v>
      </c>
      <c r="J184" t="s">
        <v>16</v>
      </c>
      <c r="K184">
        <v>63</v>
      </c>
      <c r="L184">
        <v>48</v>
      </c>
      <c r="M184" s="25">
        <v>15</v>
      </c>
      <c r="N184" s="26">
        <f t="shared" si="8"/>
        <v>0</v>
      </c>
      <c r="O184" s="26">
        <f t="shared" si="9"/>
        <v>0</v>
      </c>
      <c r="P184" s="26">
        <f t="shared" si="10"/>
        <v>0</v>
      </c>
      <c r="Q184" s="26">
        <f t="shared" si="11"/>
        <v>1</v>
      </c>
      <c r="R184" s="26">
        <v>0</v>
      </c>
      <c r="S184" s="26">
        <v>0</v>
      </c>
    </row>
    <row r="185" spans="1:19">
      <c r="A185">
        <v>2020</v>
      </c>
      <c r="B185" s="1">
        <v>46312</v>
      </c>
      <c r="C185" t="s">
        <v>36</v>
      </c>
      <c r="D185">
        <v>19</v>
      </c>
      <c r="E185" t="s">
        <v>23</v>
      </c>
      <c r="F185">
        <v>1</v>
      </c>
      <c r="G185">
        <v>3</v>
      </c>
      <c r="H185">
        <v>0</v>
      </c>
      <c r="I185" t="s">
        <v>15</v>
      </c>
      <c r="J185" t="s">
        <v>16</v>
      </c>
      <c r="K185">
        <v>41</v>
      </c>
      <c r="L185">
        <v>24</v>
      </c>
      <c r="M185" s="25">
        <v>17</v>
      </c>
      <c r="N185" s="26">
        <f t="shared" si="8"/>
        <v>1</v>
      </c>
      <c r="O185" s="26">
        <f t="shared" si="9"/>
        <v>0</v>
      </c>
      <c r="P185" s="26">
        <f t="shared" si="10"/>
        <v>0</v>
      </c>
      <c r="Q185" s="26">
        <f t="shared" si="11"/>
        <v>1</v>
      </c>
      <c r="R185" s="26">
        <v>1</v>
      </c>
      <c r="S185" s="26">
        <v>0</v>
      </c>
    </row>
    <row r="186" spans="1:19">
      <c r="A186">
        <v>2020</v>
      </c>
      <c r="B186" s="1">
        <v>46319</v>
      </c>
      <c r="C186" t="s">
        <v>42</v>
      </c>
      <c r="D186">
        <v>14.5</v>
      </c>
      <c r="E186" t="s">
        <v>31</v>
      </c>
      <c r="F186">
        <v>0</v>
      </c>
      <c r="H186">
        <v>0</v>
      </c>
      <c r="I186" t="s">
        <v>19</v>
      </c>
      <c r="J186" t="s">
        <v>16</v>
      </c>
      <c r="K186">
        <v>48</v>
      </c>
      <c r="L186">
        <v>17</v>
      </c>
      <c r="M186" s="25">
        <v>31</v>
      </c>
      <c r="N186" s="26">
        <f t="shared" si="8"/>
        <v>0</v>
      </c>
      <c r="O186" s="26">
        <f t="shared" si="9"/>
        <v>0</v>
      </c>
      <c r="P186" s="26">
        <f t="shared" si="10"/>
        <v>0</v>
      </c>
      <c r="Q186" s="26">
        <f t="shared" si="11"/>
        <v>0</v>
      </c>
      <c r="R186" s="26">
        <v>0</v>
      </c>
      <c r="S186" s="26">
        <v>0</v>
      </c>
    </row>
    <row r="187" spans="1:19">
      <c r="A187">
        <v>2020</v>
      </c>
      <c r="B187" s="1">
        <v>46326</v>
      </c>
      <c r="C187" t="s">
        <v>13</v>
      </c>
      <c r="D187">
        <v>18</v>
      </c>
      <c r="E187" t="s">
        <v>33</v>
      </c>
      <c r="F187">
        <v>0</v>
      </c>
      <c r="H187">
        <v>0</v>
      </c>
      <c r="I187" t="s">
        <v>15</v>
      </c>
      <c r="J187" t="s">
        <v>16</v>
      </c>
      <c r="K187">
        <v>41</v>
      </c>
      <c r="L187">
        <v>0</v>
      </c>
      <c r="M187" s="25">
        <v>41</v>
      </c>
      <c r="N187" s="26">
        <f t="shared" si="8"/>
        <v>1</v>
      </c>
      <c r="O187" s="26">
        <f t="shared" si="9"/>
        <v>0</v>
      </c>
      <c r="P187" s="26">
        <f t="shared" si="10"/>
        <v>0</v>
      </c>
      <c r="Q187" s="26">
        <f t="shared" si="11"/>
        <v>1</v>
      </c>
      <c r="R187" s="26">
        <v>0</v>
      </c>
      <c r="S187" s="26">
        <v>0</v>
      </c>
    </row>
    <row r="188" spans="1:19">
      <c r="A188">
        <v>2020</v>
      </c>
      <c r="B188" s="1">
        <v>46347</v>
      </c>
      <c r="C188" t="s">
        <v>45</v>
      </c>
      <c r="D188">
        <v>15</v>
      </c>
      <c r="E188" t="s">
        <v>43</v>
      </c>
      <c r="F188">
        <v>0</v>
      </c>
      <c r="H188">
        <v>0</v>
      </c>
      <c r="I188" t="s">
        <v>15</v>
      </c>
      <c r="J188" t="s">
        <v>16</v>
      </c>
      <c r="K188">
        <v>63</v>
      </c>
      <c r="L188">
        <v>3</v>
      </c>
      <c r="M188" s="25">
        <v>60</v>
      </c>
      <c r="N188" s="26">
        <f t="shared" si="8"/>
        <v>1</v>
      </c>
      <c r="O188" s="26">
        <f t="shared" si="9"/>
        <v>0</v>
      </c>
      <c r="P188" s="26">
        <f t="shared" si="10"/>
        <v>0</v>
      </c>
      <c r="Q188" s="26">
        <f t="shared" si="11"/>
        <v>0</v>
      </c>
      <c r="R188" s="26">
        <v>0</v>
      </c>
      <c r="S188" s="26">
        <v>0</v>
      </c>
    </row>
    <row r="189" spans="1:19">
      <c r="A189">
        <v>2020</v>
      </c>
      <c r="B189" s="1">
        <v>46354</v>
      </c>
      <c r="C189" t="s">
        <v>42</v>
      </c>
      <c r="D189">
        <v>14.5</v>
      </c>
      <c r="E189" t="s">
        <v>37</v>
      </c>
      <c r="F189">
        <v>1</v>
      </c>
      <c r="G189">
        <v>22</v>
      </c>
      <c r="H189">
        <v>0</v>
      </c>
      <c r="I189" t="s">
        <v>15</v>
      </c>
      <c r="J189" t="s">
        <v>16</v>
      </c>
      <c r="K189">
        <v>42</v>
      </c>
      <c r="L189">
        <v>13</v>
      </c>
      <c r="M189" s="25">
        <v>29</v>
      </c>
      <c r="N189" s="26">
        <f t="shared" si="8"/>
        <v>1</v>
      </c>
      <c r="O189" s="26">
        <f t="shared" si="9"/>
        <v>0</v>
      </c>
      <c r="P189" s="26">
        <f t="shared" si="10"/>
        <v>0</v>
      </c>
      <c r="Q189" s="26">
        <f t="shared" si="11"/>
        <v>0</v>
      </c>
      <c r="R189" s="26">
        <v>1</v>
      </c>
      <c r="S189" s="26">
        <v>0</v>
      </c>
    </row>
    <row r="190" spans="1:19">
      <c r="A190">
        <v>2020</v>
      </c>
      <c r="B190" s="1">
        <v>46361</v>
      </c>
      <c r="C190" t="s">
        <v>36</v>
      </c>
      <c r="D190">
        <v>19</v>
      </c>
      <c r="E190" t="s">
        <v>32</v>
      </c>
      <c r="F190">
        <v>0</v>
      </c>
      <c r="H190">
        <v>0</v>
      </c>
      <c r="I190" t="s">
        <v>19</v>
      </c>
      <c r="J190" t="s">
        <v>16</v>
      </c>
      <c r="K190">
        <v>55</v>
      </c>
      <c r="L190">
        <v>17</v>
      </c>
      <c r="M190" s="25">
        <v>38</v>
      </c>
      <c r="N190" s="26">
        <f t="shared" si="8"/>
        <v>0</v>
      </c>
      <c r="O190" s="26">
        <f t="shared" si="9"/>
        <v>0</v>
      </c>
      <c r="P190" s="26">
        <f t="shared" si="10"/>
        <v>0</v>
      </c>
      <c r="Q190" s="26">
        <f t="shared" si="11"/>
        <v>1</v>
      </c>
      <c r="R190" s="26">
        <v>0</v>
      </c>
      <c r="S190" s="26">
        <v>0</v>
      </c>
    </row>
    <row r="191" spans="1:19">
      <c r="A191">
        <v>2020</v>
      </c>
      <c r="B191" s="1">
        <v>46368</v>
      </c>
      <c r="C191" t="s">
        <v>83</v>
      </c>
      <c r="D191">
        <v>11</v>
      </c>
      <c r="E191" t="s">
        <v>21</v>
      </c>
      <c r="F191">
        <v>0</v>
      </c>
      <c r="H191">
        <v>0</v>
      </c>
      <c r="I191" t="s">
        <v>19</v>
      </c>
      <c r="J191" t="s">
        <v>16</v>
      </c>
      <c r="K191">
        <v>52</v>
      </c>
      <c r="L191">
        <v>3</v>
      </c>
      <c r="M191" s="25">
        <v>49</v>
      </c>
      <c r="N191" s="26">
        <f t="shared" si="8"/>
        <v>0</v>
      </c>
      <c r="O191" s="26">
        <f t="shared" si="9"/>
        <v>0</v>
      </c>
      <c r="P191" s="26">
        <f t="shared" si="10"/>
        <v>1</v>
      </c>
      <c r="Q191" s="26">
        <f t="shared" si="11"/>
        <v>0</v>
      </c>
      <c r="R191" s="26">
        <v>0</v>
      </c>
      <c r="S191" s="26">
        <v>0</v>
      </c>
    </row>
    <row r="192" spans="1:19">
      <c r="A192">
        <v>2020</v>
      </c>
      <c r="B192" s="1">
        <v>46375</v>
      </c>
      <c r="C192" t="s">
        <v>36</v>
      </c>
      <c r="D192">
        <v>19</v>
      </c>
      <c r="E192" t="s">
        <v>46</v>
      </c>
      <c r="F192">
        <v>1</v>
      </c>
      <c r="G192">
        <v>7</v>
      </c>
      <c r="H192">
        <v>0</v>
      </c>
      <c r="I192" t="s">
        <v>27</v>
      </c>
      <c r="J192" t="s">
        <v>16</v>
      </c>
      <c r="K192">
        <v>52</v>
      </c>
      <c r="L192">
        <v>46</v>
      </c>
      <c r="M192" s="25">
        <v>6</v>
      </c>
      <c r="N192" s="26">
        <f t="shared" si="8"/>
        <v>0</v>
      </c>
      <c r="O192" s="26">
        <f t="shared" si="9"/>
        <v>1</v>
      </c>
      <c r="P192" s="26">
        <f t="shared" si="10"/>
        <v>0</v>
      </c>
      <c r="Q192" s="26">
        <f t="shared" si="11"/>
        <v>1</v>
      </c>
      <c r="R192" s="26">
        <v>1</v>
      </c>
      <c r="S192" s="26">
        <v>0</v>
      </c>
    </row>
    <row r="193" spans="1:19">
      <c r="A193">
        <v>2020</v>
      </c>
      <c r="B193" s="2">
        <v>44197</v>
      </c>
      <c r="C193" t="s">
        <v>45</v>
      </c>
      <c r="D193">
        <v>15</v>
      </c>
      <c r="E193" t="s">
        <v>77</v>
      </c>
      <c r="F193">
        <v>1</v>
      </c>
      <c r="G193">
        <v>4</v>
      </c>
      <c r="H193">
        <v>1</v>
      </c>
      <c r="I193" t="s">
        <v>27</v>
      </c>
      <c r="J193" t="s">
        <v>16</v>
      </c>
      <c r="K193">
        <v>31</v>
      </c>
      <c r="L193">
        <v>14</v>
      </c>
      <c r="M193" s="25">
        <v>17</v>
      </c>
      <c r="N193" s="26">
        <f t="shared" si="8"/>
        <v>0</v>
      </c>
      <c r="O193" s="26">
        <f t="shared" si="9"/>
        <v>1</v>
      </c>
      <c r="P193" s="26">
        <f t="shared" si="10"/>
        <v>0</v>
      </c>
      <c r="Q193" s="26">
        <f t="shared" si="11"/>
        <v>0</v>
      </c>
      <c r="R193" s="26">
        <v>1</v>
      </c>
      <c r="S193" s="26">
        <v>1</v>
      </c>
    </row>
    <row r="194" spans="1:19">
      <c r="A194">
        <v>2020</v>
      </c>
      <c r="B194" s="2">
        <v>44207</v>
      </c>
      <c r="C194" t="s">
        <v>36</v>
      </c>
      <c r="D194">
        <v>19</v>
      </c>
      <c r="E194" t="s">
        <v>85</v>
      </c>
      <c r="F194">
        <v>1</v>
      </c>
      <c r="G194">
        <v>3</v>
      </c>
      <c r="H194">
        <v>1</v>
      </c>
      <c r="I194" t="s">
        <v>27</v>
      </c>
      <c r="J194" t="s">
        <v>16</v>
      </c>
      <c r="K194">
        <v>52</v>
      </c>
      <c r="L194">
        <v>24</v>
      </c>
      <c r="M194" s="25">
        <v>28</v>
      </c>
      <c r="N194" s="26">
        <f t="shared" si="8"/>
        <v>0</v>
      </c>
      <c r="O194" s="26">
        <f t="shared" si="9"/>
        <v>1</v>
      </c>
      <c r="P194" s="26">
        <f t="shared" si="10"/>
        <v>0</v>
      </c>
      <c r="Q194" s="26">
        <f t="shared" si="11"/>
        <v>1</v>
      </c>
      <c r="R194" s="26">
        <v>1</v>
      </c>
      <c r="S194" s="26">
        <v>1</v>
      </c>
    </row>
    <row r="195" spans="1:19">
      <c r="A195">
        <v>2021</v>
      </c>
      <c r="B195" s="1">
        <v>46269</v>
      </c>
      <c r="C195" t="s">
        <v>42</v>
      </c>
      <c r="D195">
        <v>14.5</v>
      </c>
      <c r="E195" t="s">
        <v>100</v>
      </c>
      <c r="F195">
        <v>1</v>
      </c>
      <c r="G195">
        <v>14</v>
      </c>
      <c r="H195">
        <v>1</v>
      </c>
      <c r="I195" t="s">
        <v>27</v>
      </c>
      <c r="J195" t="s">
        <v>16</v>
      </c>
      <c r="K195">
        <v>44</v>
      </c>
      <c r="L195">
        <v>13</v>
      </c>
      <c r="M195" s="25">
        <v>31</v>
      </c>
      <c r="N195" s="26">
        <f t="shared" ref="N195:N258" si="12">IF(I195="home",1,0)</f>
        <v>0</v>
      </c>
      <c r="O195" s="26">
        <f t="shared" ref="O195:O258" si="13">IF(I195="neutral",1,0)</f>
        <v>1</v>
      </c>
      <c r="P195" s="26">
        <f t="shared" ref="P195:P258" si="14">IF(D195&lt;12,1,0)</f>
        <v>0</v>
      </c>
      <c r="Q195" s="26">
        <f t="shared" ref="Q195:Q258" si="15">IF(D195&gt;=17,1,0)</f>
        <v>0</v>
      </c>
      <c r="R195" s="26">
        <v>1</v>
      </c>
      <c r="S195" s="26">
        <v>1</v>
      </c>
    </row>
    <row r="196" spans="1:19">
      <c r="A196">
        <v>2021</v>
      </c>
      <c r="B196" s="1">
        <v>46276</v>
      </c>
      <c r="C196" t="s">
        <v>45</v>
      </c>
      <c r="D196">
        <v>15</v>
      </c>
      <c r="E196" t="s">
        <v>94</v>
      </c>
      <c r="F196">
        <v>0</v>
      </c>
      <c r="H196">
        <v>1</v>
      </c>
      <c r="I196" t="s">
        <v>15</v>
      </c>
      <c r="J196" t="s">
        <v>16</v>
      </c>
      <c r="K196">
        <v>48</v>
      </c>
      <c r="L196">
        <v>14</v>
      </c>
      <c r="M196" s="25">
        <v>34</v>
      </c>
      <c r="N196" s="26">
        <f t="shared" si="12"/>
        <v>1</v>
      </c>
      <c r="O196" s="26">
        <f t="shared" si="13"/>
        <v>0</v>
      </c>
      <c r="P196" s="26">
        <f t="shared" si="14"/>
        <v>0</v>
      </c>
      <c r="Q196" s="26">
        <f t="shared" si="15"/>
        <v>0</v>
      </c>
      <c r="R196" s="26">
        <v>0</v>
      </c>
      <c r="S196" s="26">
        <v>1</v>
      </c>
    </row>
    <row r="197" spans="1:19">
      <c r="A197">
        <v>2021</v>
      </c>
      <c r="B197" s="1">
        <v>46283</v>
      </c>
      <c r="C197" t="s">
        <v>42</v>
      </c>
      <c r="D197">
        <v>14.5</v>
      </c>
      <c r="E197" t="s">
        <v>46</v>
      </c>
      <c r="F197">
        <v>1</v>
      </c>
      <c r="G197">
        <v>11</v>
      </c>
      <c r="H197">
        <v>0</v>
      </c>
      <c r="I197" t="s">
        <v>19</v>
      </c>
      <c r="J197" t="s">
        <v>16</v>
      </c>
      <c r="K197">
        <v>31</v>
      </c>
      <c r="L197">
        <v>29</v>
      </c>
      <c r="M197" s="25">
        <v>2</v>
      </c>
      <c r="N197" s="26">
        <f t="shared" si="12"/>
        <v>0</v>
      </c>
      <c r="O197" s="26">
        <f t="shared" si="13"/>
        <v>0</v>
      </c>
      <c r="P197" s="26">
        <f t="shared" si="14"/>
        <v>0</v>
      </c>
      <c r="Q197" s="26">
        <f t="shared" si="15"/>
        <v>0</v>
      </c>
      <c r="R197" s="26">
        <v>1</v>
      </c>
      <c r="S197" s="26">
        <v>0</v>
      </c>
    </row>
    <row r="198" spans="1:19">
      <c r="A198">
        <v>2021</v>
      </c>
      <c r="B198" s="1">
        <v>46290</v>
      </c>
      <c r="C198" t="s">
        <v>63</v>
      </c>
      <c r="D198">
        <v>18.5</v>
      </c>
      <c r="E198" t="s">
        <v>84</v>
      </c>
      <c r="F198">
        <v>0</v>
      </c>
      <c r="H198">
        <v>1</v>
      </c>
      <c r="I198" t="s">
        <v>15</v>
      </c>
      <c r="J198" t="s">
        <v>16</v>
      </c>
      <c r="K198">
        <v>63</v>
      </c>
      <c r="L198">
        <v>14</v>
      </c>
      <c r="M198" s="25">
        <v>49</v>
      </c>
      <c r="N198" s="26">
        <f t="shared" si="12"/>
        <v>1</v>
      </c>
      <c r="O198" s="26">
        <f t="shared" si="13"/>
        <v>0</v>
      </c>
      <c r="P198" s="26">
        <f t="shared" si="14"/>
        <v>0</v>
      </c>
      <c r="Q198" s="26">
        <f t="shared" si="15"/>
        <v>1</v>
      </c>
      <c r="R198" s="26">
        <v>0</v>
      </c>
      <c r="S198" s="26">
        <v>1</v>
      </c>
    </row>
    <row r="199" spans="1:19">
      <c r="A199">
        <v>2021</v>
      </c>
      <c r="B199" s="1">
        <v>46297</v>
      </c>
      <c r="C199" t="s">
        <v>42</v>
      </c>
      <c r="D199">
        <v>14.5</v>
      </c>
      <c r="E199" t="s">
        <v>30</v>
      </c>
      <c r="F199">
        <v>1</v>
      </c>
      <c r="G199">
        <v>12</v>
      </c>
      <c r="H199">
        <v>0</v>
      </c>
      <c r="I199" t="s">
        <v>15</v>
      </c>
      <c r="J199" t="s">
        <v>16</v>
      </c>
      <c r="K199">
        <v>42</v>
      </c>
      <c r="L199">
        <v>21</v>
      </c>
      <c r="M199" s="25">
        <v>21</v>
      </c>
      <c r="N199" s="26">
        <f t="shared" si="12"/>
        <v>1</v>
      </c>
      <c r="O199" s="26">
        <f t="shared" si="13"/>
        <v>0</v>
      </c>
      <c r="P199" s="26">
        <f t="shared" si="14"/>
        <v>0</v>
      </c>
      <c r="Q199" s="26">
        <f t="shared" si="15"/>
        <v>0</v>
      </c>
      <c r="R199" s="26">
        <v>1</v>
      </c>
      <c r="S199" s="26">
        <v>0</v>
      </c>
    </row>
    <row r="200" spans="1:19">
      <c r="A200">
        <v>2021</v>
      </c>
      <c r="B200" s="1">
        <v>46304</v>
      </c>
      <c r="C200" t="s">
        <v>36</v>
      </c>
      <c r="D200">
        <v>19</v>
      </c>
      <c r="E200" t="s">
        <v>76</v>
      </c>
      <c r="F200">
        <v>0</v>
      </c>
      <c r="H200">
        <v>0</v>
      </c>
      <c r="I200" t="s">
        <v>19</v>
      </c>
      <c r="J200" t="s">
        <v>24</v>
      </c>
      <c r="K200">
        <v>38</v>
      </c>
      <c r="L200">
        <v>41</v>
      </c>
      <c r="M200" s="25">
        <v>-3</v>
      </c>
      <c r="N200" s="26">
        <f t="shared" si="12"/>
        <v>0</v>
      </c>
      <c r="O200" s="26">
        <f t="shared" si="13"/>
        <v>0</v>
      </c>
      <c r="P200" s="26">
        <f t="shared" si="14"/>
        <v>0</v>
      </c>
      <c r="Q200" s="26">
        <f t="shared" si="15"/>
        <v>1</v>
      </c>
      <c r="R200" s="26">
        <v>0</v>
      </c>
      <c r="S200" s="26">
        <v>0</v>
      </c>
    </row>
    <row r="201" spans="1:19">
      <c r="A201">
        <v>2021</v>
      </c>
      <c r="B201" s="1">
        <v>46311</v>
      </c>
      <c r="C201" t="s">
        <v>13</v>
      </c>
      <c r="D201">
        <v>18</v>
      </c>
      <c r="E201" t="s">
        <v>33</v>
      </c>
      <c r="F201">
        <v>0</v>
      </c>
      <c r="H201">
        <v>0</v>
      </c>
      <c r="I201" t="s">
        <v>19</v>
      </c>
      <c r="J201" t="s">
        <v>16</v>
      </c>
      <c r="K201">
        <v>49</v>
      </c>
      <c r="L201">
        <v>9</v>
      </c>
      <c r="M201" s="25">
        <v>40</v>
      </c>
      <c r="N201" s="26">
        <f t="shared" si="12"/>
        <v>0</v>
      </c>
      <c r="O201" s="26">
        <f t="shared" si="13"/>
        <v>0</v>
      </c>
      <c r="P201" s="26">
        <f t="shared" si="14"/>
        <v>0</v>
      </c>
      <c r="Q201" s="26">
        <f t="shared" si="15"/>
        <v>1</v>
      </c>
      <c r="R201" s="26">
        <v>0</v>
      </c>
      <c r="S201" s="26">
        <v>0</v>
      </c>
    </row>
    <row r="202" spans="1:19">
      <c r="A202">
        <v>2021</v>
      </c>
      <c r="B202" s="1">
        <v>46318</v>
      </c>
      <c r="C202" t="s">
        <v>13</v>
      </c>
      <c r="D202">
        <v>18</v>
      </c>
      <c r="E202" t="s">
        <v>31</v>
      </c>
      <c r="F202">
        <v>0</v>
      </c>
      <c r="H202">
        <v>0</v>
      </c>
      <c r="I202" t="s">
        <v>15</v>
      </c>
      <c r="J202" t="s">
        <v>16</v>
      </c>
      <c r="K202">
        <v>52</v>
      </c>
      <c r="L202">
        <v>24</v>
      </c>
      <c r="M202" s="25">
        <v>28</v>
      </c>
      <c r="N202" s="26">
        <f t="shared" si="12"/>
        <v>1</v>
      </c>
      <c r="O202" s="26">
        <f t="shared" si="13"/>
        <v>0</v>
      </c>
      <c r="P202" s="26">
        <f t="shared" si="14"/>
        <v>0</v>
      </c>
      <c r="Q202" s="26">
        <f t="shared" si="15"/>
        <v>1</v>
      </c>
      <c r="R202" s="26">
        <v>0</v>
      </c>
      <c r="S202" s="26">
        <v>0</v>
      </c>
    </row>
    <row r="203" spans="1:19">
      <c r="A203">
        <v>2021</v>
      </c>
      <c r="B203" s="1">
        <v>46332</v>
      </c>
      <c r="C203" t="s">
        <v>13</v>
      </c>
      <c r="D203">
        <v>18</v>
      </c>
      <c r="E203" t="s">
        <v>32</v>
      </c>
      <c r="F203">
        <v>0</v>
      </c>
      <c r="H203">
        <v>0</v>
      </c>
      <c r="I203" t="s">
        <v>15</v>
      </c>
      <c r="J203" t="s">
        <v>16</v>
      </c>
      <c r="K203">
        <v>20</v>
      </c>
      <c r="L203">
        <v>14</v>
      </c>
      <c r="M203" s="25">
        <v>6</v>
      </c>
      <c r="N203" s="26">
        <f t="shared" si="12"/>
        <v>1</v>
      </c>
      <c r="O203" s="26">
        <f t="shared" si="13"/>
        <v>0</v>
      </c>
      <c r="P203" s="26">
        <f t="shared" si="14"/>
        <v>0</v>
      </c>
      <c r="Q203" s="26">
        <f t="shared" si="15"/>
        <v>1</v>
      </c>
      <c r="R203" s="26">
        <v>0</v>
      </c>
      <c r="S203" s="26">
        <v>0</v>
      </c>
    </row>
    <row r="204" spans="1:19">
      <c r="A204">
        <v>2021</v>
      </c>
      <c r="B204" s="1">
        <v>46339</v>
      </c>
      <c r="C204" t="s">
        <v>83</v>
      </c>
      <c r="D204">
        <v>11</v>
      </c>
      <c r="E204" t="s">
        <v>98</v>
      </c>
      <c r="F204">
        <v>0</v>
      </c>
      <c r="H204">
        <v>1</v>
      </c>
      <c r="I204" t="s">
        <v>15</v>
      </c>
      <c r="J204" t="s">
        <v>16</v>
      </c>
      <c r="K204">
        <v>59</v>
      </c>
      <c r="L204">
        <v>3</v>
      </c>
      <c r="M204" s="25">
        <v>56</v>
      </c>
      <c r="N204" s="26">
        <f t="shared" si="12"/>
        <v>1</v>
      </c>
      <c r="O204" s="26">
        <f t="shared" si="13"/>
        <v>0</v>
      </c>
      <c r="P204" s="26">
        <f t="shared" si="14"/>
        <v>1</v>
      </c>
      <c r="Q204" s="26">
        <f t="shared" si="15"/>
        <v>0</v>
      </c>
      <c r="R204" s="26">
        <v>0</v>
      </c>
      <c r="S204" s="26">
        <v>1</v>
      </c>
    </row>
    <row r="205" spans="1:19">
      <c r="A205">
        <v>2021</v>
      </c>
      <c r="B205" s="1">
        <v>46346</v>
      </c>
      <c r="C205" t="s">
        <v>42</v>
      </c>
      <c r="D205">
        <v>14.5</v>
      </c>
      <c r="E205" t="s">
        <v>21</v>
      </c>
      <c r="F205">
        <v>1</v>
      </c>
      <c r="G205">
        <v>21</v>
      </c>
      <c r="H205">
        <v>0</v>
      </c>
      <c r="I205" t="s">
        <v>15</v>
      </c>
      <c r="J205" t="s">
        <v>16</v>
      </c>
      <c r="K205">
        <v>42</v>
      </c>
      <c r="L205">
        <v>35</v>
      </c>
      <c r="M205" s="25">
        <v>7</v>
      </c>
      <c r="N205" s="26">
        <f t="shared" si="12"/>
        <v>1</v>
      </c>
      <c r="O205" s="26">
        <f t="shared" si="13"/>
        <v>0</v>
      </c>
      <c r="P205" s="26">
        <f t="shared" si="14"/>
        <v>0</v>
      </c>
      <c r="Q205" s="26">
        <f t="shared" si="15"/>
        <v>0</v>
      </c>
      <c r="R205" s="26">
        <v>1</v>
      </c>
      <c r="S205" s="26">
        <v>0</v>
      </c>
    </row>
    <row r="206" spans="1:19">
      <c r="A206">
        <v>2021</v>
      </c>
      <c r="B206" s="1">
        <v>46353</v>
      </c>
      <c r="C206" t="s">
        <v>42</v>
      </c>
      <c r="D206">
        <v>14.5</v>
      </c>
      <c r="E206" t="s">
        <v>37</v>
      </c>
      <c r="F206">
        <v>0</v>
      </c>
      <c r="H206">
        <v>0</v>
      </c>
      <c r="I206" t="s">
        <v>19</v>
      </c>
      <c r="J206" t="s">
        <v>16</v>
      </c>
      <c r="K206">
        <v>24</v>
      </c>
      <c r="L206">
        <v>22</v>
      </c>
      <c r="M206" s="25">
        <v>2</v>
      </c>
      <c r="N206" s="26">
        <f t="shared" si="12"/>
        <v>0</v>
      </c>
      <c r="O206" s="26">
        <f t="shared" si="13"/>
        <v>0</v>
      </c>
      <c r="P206" s="26">
        <f t="shared" si="14"/>
        <v>0</v>
      </c>
      <c r="Q206" s="26">
        <f t="shared" si="15"/>
        <v>0</v>
      </c>
      <c r="R206" s="26">
        <v>0</v>
      </c>
      <c r="S206" s="26">
        <v>0</v>
      </c>
    </row>
    <row r="207" spans="1:19">
      <c r="A207">
        <v>2021</v>
      </c>
      <c r="B207" s="1">
        <v>46360</v>
      </c>
      <c r="C207" t="s">
        <v>45</v>
      </c>
      <c r="D207">
        <v>15</v>
      </c>
      <c r="E207" t="s">
        <v>23</v>
      </c>
      <c r="F207">
        <v>1</v>
      </c>
      <c r="G207">
        <v>1</v>
      </c>
      <c r="H207">
        <v>0</v>
      </c>
      <c r="I207" t="s">
        <v>27</v>
      </c>
      <c r="J207" t="s">
        <v>16</v>
      </c>
      <c r="K207">
        <v>41</v>
      </c>
      <c r="L207">
        <v>24</v>
      </c>
      <c r="M207" s="25">
        <v>17</v>
      </c>
      <c r="N207" s="26">
        <f t="shared" si="12"/>
        <v>0</v>
      </c>
      <c r="O207" s="26">
        <f t="shared" si="13"/>
        <v>1</v>
      </c>
      <c r="P207" s="26">
        <f t="shared" si="14"/>
        <v>0</v>
      </c>
      <c r="Q207" s="26">
        <f t="shared" si="15"/>
        <v>0</v>
      </c>
      <c r="R207" s="26">
        <v>1</v>
      </c>
      <c r="S207" s="26">
        <v>0</v>
      </c>
    </row>
    <row r="208" spans="1:19">
      <c r="A208">
        <v>2021</v>
      </c>
      <c r="B208" s="1">
        <v>46387</v>
      </c>
      <c r="C208" t="s">
        <v>42</v>
      </c>
      <c r="D208">
        <v>14.5</v>
      </c>
      <c r="E208" t="s">
        <v>101</v>
      </c>
      <c r="F208">
        <v>1</v>
      </c>
      <c r="G208">
        <v>4</v>
      </c>
      <c r="H208">
        <v>1</v>
      </c>
      <c r="I208" t="s">
        <v>27</v>
      </c>
      <c r="J208" t="s">
        <v>16</v>
      </c>
      <c r="K208">
        <v>27</v>
      </c>
      <c r="L208">
        <v>6</v>
      </c>
      <c r="M208" s="25">
        <v>21</v>
      </c>
      <c r="N208" s="26">
        <f t="shared" si="12"/>
        <v>0</v>
      </c>
      <c r="O208" s="26">
        <f t="shared" si="13"/>
        <v>1</v>
      </c>
      <c r="P208" s="26">
        <f t="shared" si="14"/>
        <v>0</v>
      </c>
      <c r="Q208" s="26">
        <f t="shared" si="15"/>
        <v>0</v>
      </c>
      <c r="R208" s="26">
        <v>1</v>
      </c>
      <c r="S208" s="26">
        <v>1</v>
      </c>
    </row>
    <row r="209" spans="1:19">
      <c r="A209">
        <v>2021</v>
      </c>
      <c r="B209" s="2">
        <v>44571</v>
      </c>
      <c r="C209" t="s">
        <v>36</v>
      </c>
      <c r="D209">
        <v>19</v>
      </c>
      <c r="E209" t="s">
        <v>23</v>
      </c>
      <c r="F209">
        <v>1</v>
      </c>
      <c r="G209">
        <v>3</v>
      </c>
      <c r="H209">
        <v>0</v>
      </c>
      <c r="I209" t="s">
        <v>27</v>
      </c>
      <c r="J209" t="s">
        <v>24</v>
      </c>
      <c r="K209">
        <v>18</v>
      </c>
      <c r="L209">
        <v>33</v>
      </c>
      <c r="M209" s="25">
        <v>-15</v>
      </c>
      <c r="N209" s="26">
        <f t="shared" si="12"/>
        <v>0</v>
      </c>
      <c r="O209" s="26">
        <f t="shared" si="13"/>
        <v>1</v>
      </c>
      <c r="P209" s="26">
        <f t="shared" si="14"/>
        <v>0</v>
      </c>
      <c r="Q209" s="26">
        <f t="shared" si="15"/>
        <v>1</v>
      </c>
      <c r="R209" s="26">
        <v>1</v>
      </c>
      <c r="S209" s="26">
        <v>0</v>
      </c>
    </row>
    <row r="210" spans="1:19">
      <c r="A210">
        <v>2022</v>
      </c>
      <c r="B210" s="1">
        <v>46268</v>
      </c>
      <c r="C210" t="s">
        <v>63</v>
      </c>
      <c r="D210">
        <v>18.5</v>
      </c>
      <c r="E210" t="s">
        <v>102</v>
      </c>
      <c r="F210">
        <v>0</v>
      </c>
      <c r="H210">
        <v>1</v>
      </c>
      <c r="I210" t="s">
        <v>15</v>
      </c>
      <c r="J210" t="s">
        <v>16</v>
      </c>
      <c r="K210">
        <v>55</v>
      </c>
      <c r="L210">
        <v>0</v>
      </c>
      <c r="M210" s="25">
        <v>55</v>
      </c>
      <c r="N210" s="26">
        <f t="shared" si="12"/>
        <v>1</v>
      </c>
      <c r="O210" s="26">
        <f t="shared" si="13"/>
        <v>0</v>
      </c>
      <c r="P210" s="26">
        <f t="shared" si="14"/>
        <v>0</v>
      </c>
      <c r="Q210" s="26">
        <f t="shared" si="15"/>
        <v>1</v>
      </c>
      <c r="R210" s="26">
        <v>0</v>
      </c>
      <c r="S210" s="26">
        <v>1</v>
      </c>
    </row>
    <row r="211" spans="1:19">
      <c r="A211">
        <v>2022</v>
      </c>
      <c r="B211" s="1">
        <v>46275</v>
      </c>
      <c r="C211" t="s">
        <v>83</v>
      </c>
      <c r="D211">
        <v>11</v>
      </c>
      <c r="E211" t="s">
        <v>57</v>
      </c>
      <c r="F211">
        <v>0</v>
      </c>
      <c r="H211">
        <v>1</v>
      </c>
      <c r="I211" t="s">
        <v>19</v>
      </c>
      <c r="J211" t="s">
        <v>16</v>
      </c>
      <c r="K211">
        <v>20</v>
      </c>
      <c r="L211">
        <v>19</v>
      </c>
      <c r="M211" s="25">
        <v>1</v>
      </c>
      <c r="N211" s="26">
        <f t="shared" si="12"/>
        <v>0</v>
      </c>
      <c r="O211" s="26">
        <f t="shared" si="13"/>
        <v>0</v>
      </c>
      <c r="P211" s="26">
        <f t="shared" si="14"/>
        <v>1</v>
      </c>
      <c r="Q211" s="26">
        <f t="shared" si="15"/>
        <v>0</v>
      </c>
      <c r="R211" s="26">
        <v>0</v>
      </c>
      <c r="S211" s="26">
        <v>1</v>
      </c>
    </row>
    <row r="212" spans="1:19">
      <c r="A212">
        <v>2022</v>
      </c>
      <c r="B212" s="1">
        <v>46282</v>
      </c>
      <c r="C212" t="s">
        <v>45</v>
      </c>
      <c r="D212">
        <v>15</v>
      </c>
      <c r="E212" t="s">
        <v>35</v>
      </c>
      <c r="F212">
        <v>0</v>
      </c>
      <c r="H212">
        <v>1</v>
      </c>
      <c r="I212" t="s">
        <v>15</v>
      </c>
      <c r="J212" t="s">
        <v>16</v>
      </c>
      <c r="K212">
        <v>63</v>
      </c>
      <c r="L212">
        <v>7</v>
      </c>
      <c r="M212" s="25">
        <v>56</v>
      </c>
      <c r="N212" s="26">
        <f t="shared" si="12"/>
        <v>1</v>
      </c>
      <c r="O212" s="26">
        <f t="shared" si="13"/>
        <v>0</v>
      </c>
      <c r="P212" s="26">
        <f t="shared" si="14"/>
        <v>0</v>
      </c>
      <c r="Q212" s="26">
        <f t="shared" si="15"/>
        <v>0</v>
      </c>
      <c r="R212" s="26">
        <v>0</v>
      </c>
      <c r="S212" s="26">
        <v>1</v>
      </c>
    </row>
    <row r="213" spans="1:19">
      <c r="A213">
        <v>2022</v>
      </c>
      <c r="B213" s="1">
        <v>46289</v>
      </c>
      <c r="C213" t="s">
        <v>63</v>
      </c>
      <c r="D213">
        <v>18.5</v>
      </c>
      <c r="E213" t="s">
        <v>18</v>
      </c>
      <c r="F213">
        <v>0</v>
      </c>
      <c r="H213">
        <v>0</v>
      </c>
      <c r="I213" t="s">
        <v>15</v>
      </c>
      <c r="J213" t="s">
        <v>16</v>
      </c>
      <c r="K213">
        <v>55</v>
      </c>
      <c r="L213">
        <v>3</v>
      </c>
      <c r="M213" s="25">
        <v>52</v>
      </c>
      <c r="N213" s="26">
        <f t="shared" si="12"/>
        <v>1</v>
      </c>
      <c r="O213" s="26">
        <f t="shared" si="13"/>
        <v>0</v>
      </c>
      <c r="P213" s="26">
        <f t="shared" si="14"/>
        <v>0</v>
      </c>
      <c r="Q213" s="26">
        <f t="shared" si="15"/>
        <v>1</v>
      </c>
      <c r="R213" s="26">
        <v>0</v>
      </c>
      <c r="S213" s="26">
        <v>0</v>
      </c>
    </row>
    <row r="214" spans="1:19">
      <c r="A214">
        <v>2022</v>
      </c>
      <c r="B214" s="1">
        <v>46296</v>
      </c>
      <c r="C214" t="s">
        <v>42</v>
      </c>
      <c r="D214">
        <v>14.5</v>
      </c>
      <c r="E214" t="s">
        <v>21</v>
      </c>
      <c r="F214">
        <v>1</v>
      </c>
      <c r="G214">
        <v>20</v>
      </c>
      <c r="H214">
        <v>0</v>
      </c>
      <c r="I214" t="s">
        <v>19</v>
      </c>
      <c r="J214" t="s">
        <v>16</v>
      </c>
      <c r="K214">
        <v>49</v>
      </c>
      <c r="L214">
        <v>26</v>
      </c>
      <c r="M214" s="25">
        <v>23</v>
      </c>
      <c r="N214" s="26">
        <f t="shared" si="12"/>
        <v>0</v>
      </c>
      <c r="O214" s="26">
        <f t="shared" si="13"/>
        <v>0</v>
      </c>
      <c r="P214" s="26">
        <f t="shared" si="14"/>
        <v>0</v>
      </c>
      <c r="Q214" s="26">
        <f t="shared" si="15"/>
        <v>0</v>
      </c>
      <c r="R214" s="26">
        <v>1</v>
      </c>
      <c r="S214" s="26">
        <v>0</v>
      </c>
    </row>
    <row r="215" spans="1:19">
      <c r="A215">
        <v>2022</v>
      </c>
      <c r="B215" s="1">
        <v>46303</v>
      </c>
      <c r="C215" t="s">
        <v>36</v>
      </c>
      <c r="D215">
        <v>19</v>
      </c>
      <c r="E215" t="s">
        <v>76</v>
      </c>
      <c r="F215">
        <v>0</v>
      </c>
      <c r="H215">
        <v>0</v>
      </c>
      <c r="I215" t="s">
        <v>15</v>
      </c>
      <c r="J215" t="s">
        <v>16</v>
      </c>
      <c r="K215">
        <v>24</v>
      </c>
      <c r="L215">
        <v>20</v>
      </c>
      <c r="M215" s="25">
        <v>4</v>
      </c>
      <c r="N215" s="26">
        <f t="shared" si="12"/>
        <v>1</v>
      </c>
      <c r="O215" s="26">
        <f t="shared" si="13"/>
        <v>0</v>
      </c>
      <c r="P215" s="26">
        <f t="shared" si="14"/>
        <v>0</v>
      </c>
      <c r="Q215" s="26">
        <f t="shared" si="15"/>
        <v>1</v>
      </c>
      <c r="R215" s="26">
        <v>0</v>
      </c>
      <c r="S215" s="26">
        <v>0</v>
      </c>
    </row>
    <row r="216" spans="1:19">
      <c r="A216">
        <v>2022</v>
      </c>
      <c r="B216" s="1">
        <v>46310</v>
      </c>
      <c r="C216" t="s">
        <v>42</v>
      </c>
      <c r="D216">
        <v>14.5</v>
      </c>
      <c r="E216" t="s">
        <v>31</v>
      </c>
      <c r="F216">
        <v>1</v>
      </c>
      <c r="G216">
        <v>6</v>
      </c>
      <c r="H216">
        <v>0</v>
      </c>
      <c r="I216" t="s">
        <v>19</v>
      </c>
      <c r="J216" t="s">
        <v>24</v>
      </c>
      <c r="K216">
        <v>49</v>
      </c>
      <c r="L216">
        <v>52</v>
      </c>
      <c r="M216" s="25">
        <v>-3</v>
      </c>
      <c r="N216" s="26">
        <f t="shared" si="12"/>
        <v>0</v>
      </c>
      <c r="O216" s="26">
        <f t="shared" si="13"/>
        <v>0</v>
      </c>
      <c r="P216" s="26">
        <f t="shared" si="14"/>
        <v>0</v>
      </c>
      <c r="Q216" s="26">
        <f t="shared" si="15"/>
        <v>0</v>
      </c>
      <c r="R216" s="26">
        <v>1</v>
      </c>
      <c r="S216" s="26">
        <v>0</v>
      </c>
    </row>
    <row r="217" spans="1:19">
      <c r="A217">
        <v>2022</v>
      </c>
      <c r="B217" s="1">
        <v>46317</v>
      </c>
      <c r="C217" t="s">
        <v>13</v>
      </c>
      <c r="D217">
        <v>18</v>
      </c>
      <c r="E217" t="s">
        <v>33</v>
      </c>
      <c r="F217">
        <v>1</v>
      </c>
      <c r="G217">
        <v>24</v>
      </c>
      <c r="H217">
        <v>0</v>
      </c>
      <c r="I217" t="s">
        <v>15</v>
      </c>
      <c r="J217" t="s">
        <v>16</v>
      </c>
      <c r="K217">
        <v>30</v>
      </c>
      <c r="L217">
        <v>6</v>
      </c>
      <c r="M217" s="25">
        <v>24</v>
      </c>
      <c r="N217" s="26">
        <f t="shared" si="12"/>
        <v>1</v>
      </c>
      <c r="O217" s="26">
        <f t="shared" si="13"/>
        <v>0</v>
      </c>
      <c r="P217" s="26">
        <f t="shared" si="14"/>
        <v>0</v>
      </c>
      <c r="Q217" s="26">
        <f t="shared" si="15"/>
        <v>1</v>
      </c>
      <c r="R217" s="26">
        <v>1</v>
      </c>
      <c r="S217" s="26">
        <v>0</v>
      </c>
    </row>
    <row r="218" spans="1:19">
      <c r="A218">
        <v>2022</v>
      </c>
      <c r="B218" s="1">
        <v>46331</v>
      </c>
      <c r="C218" t="s">
        <v>13</v>
      </c>
      <c r="D218">
        <v>18</v>
      </c>
      <c r="E218" t="s">
        <v>32</v>
      </c>
      <c r="F218">
        <v>1</v>
      </c>
      <c r="G218">
        <v>10</v>
      </c>
      <c r="H218">
        <v>0</v>
      </c>
      <c r="I218" t="s">
        <v>19</v>
      </c>
      <c r="J218" t="s">
        <v>24</v>
      </c>
      <c r="K218">
        <v>31</v>
      </c>
      <c r="L218">
        <v>32</v>
      </c>
      <c r="M218" s="25">
        <v>-1</v>
      </c>
      <c r="N218" s="26">
        <f t="shared" si="12"/>
        <v>0</v>
      </c>
      <c r="O218" s="26">
        <f t="shared" si="13"/>
        <v>0</v>
      </c>
      <c r="P218" s="26">
        <f t="shared" si="14"/>
        <v>0</v>
      </c>
      <c r="Q218" s="26">
        <f t="shared" si="15"/>
        <v>1</v>
      </c>
      <c r="R218" s="26">
        <v>1</v>
      </c>
      <c r="S218" s="26">
        <v>0</v>
      </c>
    </row>
    <row r="219" spans="1:19">
      <c r="A219">
        <v>2022</v>
      </c>
      <c r="B219" s="1">
        <v>46338</v>
      </c>
      <c r="C219" t="s">
        <v>42</v>
      </c>
      <c r="D219">
        <v>14.5</v>
      </c>
      <c r="E219" t="s">
        <v>30</v>
      </c>
      <c r="F219">
        <v>1</v>
      </c>
      <c r="G219">
        <v>11</v>
      </c>
      <c r="H219">
        <v>0</v>
      </c>
      <c r="I219" t="s">
        <v>19</v>
      </c>
      <c r="J219" t="s">
        <v>16</v>
      </c>
      <c r="K219">
        <v>30</v>
      </c>
      <c r="L219">
        <v>24</v>
      </c>
      <c r="M219" s="25">
        <v>6</v>
      </c>
      <c r="N219" s="26">
        <f t="shared" si="12"/>
        <v>0</v>
      </c>
      <c r="O219" s="26">
        <f t="shared" si="13"/>
        <v>0</v>
      </c>
      <c r="P219" s="26">
        <f t="shared" si="14"/>
        <v>0</v>
      </c>
      <c r="Q219" s="26">
        <f t="shared" si="15"/>
        <v>0</v>
      </c>
      <c r="R219" s="26">
        <v>1</v>
      </c>
      <c r="S219" s="26">
        <v>0</v>
      </c>
    </row>
    <row r="220" spans="1:19">
      <c r="A220">
        <v>2022</v>
      </c>
      <c r="B220" s="1">
        <v>46345</v>
      </c>
      <c r="C220" t="s">
        <v>83</v>
      </c>
      <c r="D220">
        <v>11</v>
      </c>
      <c r="E220" t="s">
        <v>103</v>
      </c>
      <c r="F220">
        <v>0</v>
      </c>
      <c r="H220">
        <v>1</v>
      </c>
      <c r="I220" t="s">
        <v>15</v>
      </c>
      <c r="J220" t="s">
        <v>16</v>
      </c>
      <c r="K220">
        <v>34</v>
      </c>
      <c r="L220">
        <v>0</v>
      </c>
      <c r="M220" s="25">
        <v>34</v>
      </c>
      <c r="N220" s="26">
        <f t="shared" si="12"/>
        <v>1</v>
      </c>
      <c r="O220" s="26">
        <f t="shared" si="13"/>
        <v>0</v>
      </c>
      <c r="P220" s="26">
        <f t="shared" si="14"/>
        <v>1</v>
      </c>
      <c r="Q220" s="26">
        <f t="shared" si="15"/>
        <v>0</v>
      </c>
      <c r="R220" s="26">
        <v>0</v>
      </c>
      <c r="S220" s="26">
        <v>1</v>
      </c>
    </row>
    <row r="221" spans="1:19">
      <c r="A221">
        <v>2022</v>
      </c>
      <c r="B221" s="1">
        <v>46352</v>
      </c>
      <c r="C221" t="s">
        <v>42</v>
      </c>
      <c r="D221">
        <v>14.5</v>
      </c>
      <c r="E221" t="s">
        <v>37</v>
      </c>
      <c r="F221">
        <v>0</v>
      </c>
      <c r="H221">
        <v>0</v>
      </c>
      <c r="I221" t="s">
        <v>15</v>
      </c>
      <c r="J221" t="s">
        <v>16</v>
      </c>
      <c r="K221">
        <v>49</v>
      </c>
      <c r="L221">
        <v>27</v>
      </c>
      <c r="M221" s="25">
        <v>22</v>
      </c>
      <c r="N221" s="26">
        <f t="shared" si="12"/>
        <v>1</v>
      </c>
      <c r="O221" s="26">
        <f t="shared" si="13"/>
        <v>0</v>
      </c>
      <c r="P221" s="26">
        <f t="shared" si="14"/>
        <v>0</v>
      </c>
      <c r="Q221" s="26">
        <f t="shared" si="15"/>
        <v>0</v>
      </c>
      <c r="R221" s="26">
        <v>0</v>
      </c>
      <c r="S221" s="26">
        <v>0</v>
      </c>
    </row>
    <row r="222" spans="1:19">
      <c r="A222">
        <v>2022</v>
      </c>
      <c r="B222" s="1">
        <v>46387</v>
      </c>
      <c r="C222" t="s">
        <v>83</v>
      </c>
      <c r="D222">
        <v>11</v>
      </c>
      <c r="E222" t="s">
        <v>104</v>
      </c>
      <c r="F222">
        <v>1</v>
      </c>
      <c r="G222">
        <v>9</v>
      </c>
      <c r="H222">
        <v>1</v>
      </c>
      <c r="I222" t="s">
        <v>27</v>
      </c>
      <c r="J222" t="s">
        <v>16</v>
      </c>
      <c r="K222">
        <v>45</v>
      </c>
      <c r="L222">
        <v>20</v>
      </c>
      <c r="M222" s="25">
        <v>25</v>
      </c>
      <c r="N222" s="26">
        <f t="shared" si="12"/>
        <v>0</v>
      </c>
      <c r="O222" s="26">
        <f t="shared" si="13"/>
        <v>1</v>
      </c>
      <c r="P222" s="26">
        <f t="shared" si="14"/>
        <v>1</v>
      </c>
      <c r="Q222" s="26">
        <f t="shared" si="15"/>
        <v>0</v>
      </c>
      <c r="R222" s="26">
        <v>1</v>
      </c>
      <c r="S222" s="26">
        <v>1</v>
      </c>
    </row>
    <row r="223" spans="1:19">
      <c r="A223">
        <v>2023</v>
      </c>
      <c r="B223" s="1">
        <v>46267</v>
      </c>
      <c r="C223" t="s">
        <v>63</v>
      </c>
      <c r="D223">
        <v>18.5</v>
      </c>
      <c r="E223" t="s">
        <v>87</v>
      </c>
      <c r="F223">
        <v>0</v>
      </c>
      <c r="H223">
        <v>1</v>
      </c>
      <c r="I223" t="s">
        <v>15</v>
      </c>
      <c r="J223" t="s">
        <v>16</v>
      </c>
      <c r="K223">
        <v>56</v>
      </c>
      <c r="L223">
        <v>7</v>
      </c>
      <c r="M223" s="25">
        <v>49</v>
      </c>
      <c r="N223" s="26">
        <f t="shared" si="12"/>
        <v>1</v>
      </c>
      <c r="O223" s="26">
        <f t="shared" si="13"/>
        <v>0</v>
      </c>
      <c r="P223" s="26">
        <f t="shared" si="14"/>
        <v>0</v>
      </c>
      <c r="Q223" s="26">
        <f t="shared" si="15"/>
        <v>1</v>
      </c>
      <c r="R223" s="26">
        <v>0</v>
      </c>
      <c r="S223" s="26">
        <v>1</v>
      </c>
    </row>
    <row r="224" spans="1:19">
      <c r="A224">
        <v>2023</v>
      </c>
      <c r="B224" s="1">
        <v>46274</v>
      </c>
      <c r="C224" t="s">
        <v>13</v>
      </c>
      <c r="D224">
        <v>18</v>
      </c>
      <c r="E224" t="s">
        <v>57</v>
      </c>
      <c r="F224">
        <v>1</v>
      </c>
      <c r="G224">
        <v>11</v>
      </c>
      <c r="H224">
        <v>1</v>
      </c>
      <c r="I224" t="s">
        <v>15</v>
      </c>
      <c r="J224" t="s">
        <v>24</v>
      </c>
      <c r="K224">
        <v>24</v>
      </c>
      <c r="L224">
        <v>34</v>
      </c>
      <c r="M224" s="25">
        <v>-10</v>
      </c>
      <c r="N224" s="26">
        <f t="shared" si="12"/>
        <v>1</v>
      </c>
      <c r="O224" s="26">
        <f t="shared" si="13"/>
        <v>0</v>
      </c>
      <c r="P224" s="26">
        <f t="shared" si="14"/>
        <v>0</v>
      </c>
      <c r="Q224" s="26">
        <f t="shared" si="15"/>
        <v>1</v>
      </c>
      <c r="R224" s="26">
        <v>1</v>
      </c>
      <c r="S224" s="26">
        <v>1</v>
      </c>
    </row>
    <row r="225" spans="1:19">
      <c r="A225">
        <v>2023</v>
      </c>
      <c r="B225" s="1">
        <v>46281</v>
      </c>
      <c r="C225" t="s">
        <v>42</v>
      </c>
      <c r="D225">
        <v>14.5</v>
      </c>
      <c r="E225" t="s">
        <v>105</v>
      </c>
      <c r="F225">
        <v>0</v>
      </c>
      <c r="H225">
        <v>1</v>
      </c>
      <c r="I225" t="s">
        <v>19</v>
      </c>
      <c r="J225" t="s">
        <v>16</v>
      </c>
      <c r="K225">
        <v>17</v>
      </c>
      <c r="L225">
        <v>3</v>
      </c>
      <c r="M225" s="25">
        <v>14</v>
      </c>
      <c r="N225" s="26">
        <f t="shared" si="12"/>
        <v>0</v>
      </c>
      <c r="O225" s="26">
        <f t="shared" si="13"/>
        <v>0</v>
      </c>
      <c r="P225" s="26">
        <f t="shared" si="14"/>
        <v>0</v>
      </c>
      <c r="Q225" s="26">
        <f t="shared" si="15"/>
        <v>0</v>
      </c>
      <c r="R225" s="26">
        <v>0</v>
      </c>
      <c r="S225" s="26">
        <v>1</v>
      </c>
    </row>
    <row r="226" spans="1:19">
      <c r="A226">
        <v>2023</v>
      </c>
      <c r="B226" s="1">
        <v>46288</v>
      </c>
      <c r="C226" t="s">
        <v>42</v>
      </c>
      <c r="D226">
        <v>14.5</v>
      </c>
      <c r="E226" t="s">
        <v>30</v>
      </c>
      <c r="F226">
        <v>1</v>
      </c>
      <c r="G226">
        <v>15</v>
      </c>
      <c r="H226">
        <v>0</v>
      </c>
      <c r="I226" t="s">
        <v>15</v>
      </c>
      <c r="J226" t="s">
        <v>16</v>
      </c>
      <c r="K226">
        <v>24</v>
      </c>
      <c r="L226">
        <v>10</v>
      </c>
      <c r="M226" s="25">
        <v>14</v>
      </c>
      <c r="N226" s="26">
        <f t="shared" si="12"/>
        <v>1</v>
      </c>
      <c r="O226" s="26">
        <f t="shared" si="13"/>
        <v>0</v>
      </c>
      <c r="P226" s="26">
        <f t="shared" si="14"/>
        <v>0</v>
      </c>
      <c r="Q226" s="26">
        <f t="shared" si="15"/>
        <v>0</v>
      </c>
      <c r="R226" s="26">
        <v>1</v>
      </c>
      <c r="S226" s="26">
        <v>0</v>
      </c>
    </row>
    <row r="227" spans="1:19">
      <c r="A227">
        <v>2023</v>
      </c>
      <c r="B227" s="1">
        <v>46295</v>
      </c>
      <c r="C227" t="s">
        <v>93</v>
      </c>
      <c r="D227">
        <v>20</v>
      </c>
      <c r="E227" t="s">
        <v>33</v>
      </c>
      <c r="F227">
        <v>0</v>
      </c>
      <c r="H227">
        <v>0</v>
      </c>
      <c r="I227" t="s">
        <v>19</v>
      </c>
      <c r="J227" t="s">
        <v>16</v>
      </c>
      <c r="K227">
        <v>40</v>
      </c>
      <c r="L227">
        <v>17</v>
      </c>
      <c r="M227" s="25">
        <v>23</v>
      </c>
      <c r="N227" s="26">
        <f t="shared" si="12"/>
        <v>0</v>
      </c>
      <c r="O227" s="26">
        <f t="shared" si="13"/>
        <v>0</v>
      </c>
      <c r="P227" s="26">
        <f t="shared" si="14"/>
        <v>0</v>
      </c>
      <c r="Q227" s="26">
        <f t="shared" si="15"/>
        <v>1</v>
      </c>
      <c r="R227" s="26">
        <v>0</v>
      </c>
      <c r="S227" s="26">
        <v>0</v>
      </c>
    </row>
    <row r="228" spans="1:19">
      <c r="A228">
        <v>2023</v>
      </c>
      <c r="B228" s="1">
        <v>46302</v>
      </c>
      <c r="C228" t="s">
        <v>42</v>
      </c>
      <c r="D228">
        <v>14.5</v>
      </c>
      <c r="E228" t="s">
        <v>76</v>
      </c>
      <c r="F228">
        <v>0</v>
      </c>
      <c r="H228">
        <v>0</v>
      </c>
      <c r="I228" t="s">
        <v>19</v>
      </c>
      <c r="J228" t="s">
        <v>16</v>
      </c>
      <c r="K228">
        <v>26</v>
      </c>
      <c r="L228">
        <v>20</v>
      </c>
      <c r="M228" s="25">
        <v>6</v>
      </c>
      <c r="N228" s="26">
        <f t="shared" si="12"/>
        <v>0</v>
      </c>
      <c r="O228" s="26">
        <f t="shared" si="13"/>
        <v>0</v>
      </c>
      <c r="P228" s="26">
        <f t="shared" si="14"/>
        <v>0</v>
      </c>
      <c r="Q228" s="26">
        <f t="shared" si="15"/>
        <v>0</v>
      </c>
      <c r="R228" s="26">
        <v>0</v>
      </c>
      <c r="S228" s="26">
        <v>0</v>
      </c>
    </row>
    <row r="229" spans="1:19">
      <c r="A229">
        <v>2023</v>
      </c>
      <c r="B229" s="1">
        <v>46309</v>
      </c>
      <c r="C229" t="s">
        <v>83</v>
      </c>
      <c r="D229">
        <v>11</v>
      </c>
      <c r="E229" t="s">
        <v>21</v>
      </c>
      <c r="F229">
        <v>0</v>
      </c>
      <c r="H229">
        <v>0</v>
      </c>
      <c r="I229" t="s">
        <v>15</v>
      </c>
      <c r="J229" t="s">
        <v>16</v>
      </c>
      <c r="K229">
        <v>24</v>
      </c>
      <c r="L229">
        <v>21</v>
      </c>
      <c r="M229" s="25">
        <v>3</v>
      </c>
      <c r="N229" s="26">
        <f t="shared" si="12"/>
        <v>1</v>
      </c>
      <c r="O229" s="26">
        <f t="shared" si="13"/>
        <v>0</v>
      </c>
      <c r="P229" s="26">
        <f t="shared" si="14"/>
        <v>1</v>
      </c>
      <c r="Q229" s="26">
        <f t="shared" si="15"/>
        <v>0</v>
      </c>
      <c r="R229" s="26">
        <v>0</v>
      </c>
      <c r="S229" s="26">
        <v>0</v>
      </c>
    </row>
    <row r="230" spans="1:19">
      <c r="A230">
        <v>2023</v>
      </c>
      <c r="B230" s="1">
        <v>46316</v>
      </c>
      <c r="C230" t="s">
        <v>42</v>
      </c>
      <c r="D230">
        <v>14.5</v>
      </c>
      <c r="E230" t="s">
        <v>31</v>
      </c>
      <c r="F230">
        <v>1</v>
      </c>
      <c r="G230">
        <v>17</v>
      </c>
      <c r="H230">
        <v>0</v>
      </c>
      <c r="I230" t="s">
        <v>15</v>
      </c>
      <c r="J230" t="s">
        <v>16</v>
      </c>
      <c r="K230">
        <v>34</v>
      </c>
      <c r="L230">
        <v>20</v>
      </c>
      <c r="M230" s="25">
        <v>14</v>
      </c>
      <c r="N230" s="26">
        <f t="shared" si="12"/>
        <v>1</v>
      </c>
      <c r="O230" s="26">
        <f t="shared" si="13"/>
        <v>0</v>
      </c>
      <c r="P230" s="26">
        <f t="shared" si="14"/>
        <v>0</v>
      </c>
      <c r="Q230" s="26">
        <f t="shared" si="15"/>
        <v>0</v>
      </c>
      <c r="R230" s="26">
        <v>1</v>
      </c>
      <c r="S230" s="26">
        <v>0</v>
      </c>
    </row>
    <row r="231" spans="1:19">
      <c r="A231">
        <v>2023</v>
      </c>
      <c r="B231" s="1">
        <v>46330</v>
      </c>
      <c r="C231" t="s">
        <v>22</v>
      </c>
      <c r="D231">
        <v>18.75</v>
      </c>
      <c r="E231" t="s">
        <v>32</v>
      </c>
      <c r="F231">
        <v>1</v>
      </c>
      <c r="G231">
        <v>14</v>
      </c>
      <c r="H231">
        <v>0</v>
      </c>
      <c r="I231" t="s">
        <v>15</v>
      </c>
      <c r="J231" t="s">
        <v>16</v>
      </c>
      <c r="K231">
        <v>42</v>
      </c>
      <c r="L231">
        <v>28</v>
      </c>
      <c r="M231" s="25">
        <v>14</v>
      </c>
      <c r="N231" s="26">
        <f t="shared" si="12"/>
        <v>1</v>
      </c>
      <c r="O231" s="26">
        <f t="shared" si="13"/>
        <v>0</v>
      </c>
      <c r="P231" s="26">
        <f t="shared" si="14"/>
        <v>0</v>
      </c>
      <c r="Q231" s="26">
        <f t="shared" si="15"/>
        <v>1</v>
      </c>
      <c r="R231" s="26">
        <v>1</v>
      </c>
      <c r="S231" s="26">
        <v>0</v>
      </c>
    </row>
    <row r="232" spans="1:19">
      <c r="A232">
        <v>2023</v>
      </c>
      <c r="B232" s="1">
        <v>46337</v>
      </c>
      <c r="C232" t="s">
        <v>83</v>
      </c>
      <c r="D232">
        <v>11</v>
      </c>
      <c r="E232" t="s">
        <v>43</v>
      </c>
      <c r="F232">
        <v>0</v>
      </c>
      <c r="H232">
        <v>0</v>
      </c>
      <c r="I232" t="s">
        <v>19</v>
      </c>
      <c r="J232" t="s">
        <v>16</v>
      </c>
      <c r="K232">
        <v>49</v>
      </c>
      <c r="L232">
        <v>21</v>
      </c>
      <c r="M232" s="25">
        <v>28</v>
      </c>
      <c r="N232" s="26">
        <f t="shared" si="12"/>
        <v>0</v>
      </c>
      <c r="O232" s="26">
        <f t="shared" si="13"/>
        <v>0</v>
      </c>
      <c r="P232" s="26">
        <f t="shared" si="14"/>
        <v>1</v>
      </c>
      <c r="Q232" s="26">
        <f t="shared" si="15"/>
        <v>0</v>
      </c>
      <c r="R232" s="26">
        <v>0</v>
      </c>
      <c r="S232" s="26">
        <v>0</v>
      </c>
    </row>
    <row r="233" spans="1:19">
      <c r="A233">
        <v>2023</v>
      </c>
      <c r="B233" s="1">
        <v>46344</v>
      </c>
      <c r="C233" t="s">
        <v>83</v>
      </c>
      <c r="D233">
        <v>11</v>
      </c>
      <c r="E233" t="s">
        <v>55</v>
      </c>
      <c r="F233">
        <v>0</v>
      </c>
      <c r="H233">
        <v>1</v>
      </c>
      <c r="I233" t="s">
        <v>15</v>
      </c>
      <c r="J233" t="s">
        <v>16</v>
      </c>
      <c r="K233">
        <v>66</v>
      </c>
      <c r="L233">
        <v>10</v>
      </c>
      <c r="M233" s="25">
        <v>56</v>
      </c>
      <c r="N233" s="26">
        <f t="shared" si="12"/>
        <v>1</v>
      </c>
      <c r="O233" s="26">
        <f t="shared" si="13"/>
        <v>0</v>
      </c>
      <c r="P233" s="26">
        <f t="shared" si="14"/>
        <v>1</v>
      </c>
      <c r="Q233" s="26">
        <f t="shared" si="15"/>
        <v>0</v>
      </c>
      <c r="R233" s="26">
        <v>0</v>
      </c>
      <c r="S233" s="26">
        <v>1</v>
      </c>
    </row>
    <row r="234" spans="1:19">
      <c r="A234">
        <v>2023</v>
      </c>
      <c r="B234" s="1">
        <v>46351</v>
      </c>
      <c r="C234" t="s">
        <v>42</v>
      </c>
      <c r="D234">
        <v>14.5</v>
      </c>
      <c r="E234" t="s">
        <v>37</v>
      </c>
      <c r="F234">
        <v>0</v>
      </c>
      <c r="H234">
        <v>0</v>
      </c>
      <c r="I234" t="s">
        <v>19</v>
      </c>
      <c r="J234" t="s">
        <v>16</v>
      </c>
      <c r="K234">
        <v>27</v>
      </c>
      <c r="L234">
        <v>24</v>
      </c>
      <c r="M234" s="25">
        <v>3</v>
      </c>
      <c r="N234" s="26">
        <f t="shared" si="12"/>
        <v>0</v>
      </c>
      <c r="O234" s="26">
        <f t="shared" si="13"/>
        <v>0</v>
      </c>
      <c r="P234" s="26">
        <f t="shared" si="14"/>
        <v>0</v>
      </c>
      <c r="Q234" s="26">
        <f t="shared" si="15"/>
        <v>0</v>
      </c>
      <c r="R234" s="26">
        <v>0</v>
      </c>
      <c r="S234" s="26">
        <v>0</v>
      </c>
    </row>
    <row r="235" spans="1:19">
      <c r="A235">
        <v>2023</v>
      </c>
      <c r="B235" s="1">
        <v>46358</v>
      </c>
      <c r="C235" t="s">
        <v>45</v>
      </c>
      <c r="D235">
        <v>15</v>
      </c>
      <c r="E235" t="s">
        <v>23</v>
      </c>
      <c r="F235">
        <v>1</v>
      </c>
      <c r="G235">
        <v>1</v>
      </c>
      <c r="H235">
        <v>0</v>
      </c>
      <c r="I235" t="s">
        <v>27</v>
      </c>
      <c r="J235" t="s">
        <v>16</v>
      </c>
      <c r="K235">
        <v>27</v>
      </c>
      <c r="L235">
        <v>24</v>
      </c>
      <c r="M235" s="25">
        <v>3</v>
      </c>
      <c r="N235" s="26">
        <f t="shared" si="12"/>
        <v>0</v>
      </c>
      <c r="O235" s="26">
        <f t="shared" si="13"/>
        <v>1</v>
      </c>
      <c r="P235" s="26">
        <f t="shared" si="14"/>
        <v>0</v>
      </c>
      <c r="Q235" s="26">
        <f t="shared" si="15"/>
        <v>0</v>
      </c>
      <c r="R235" s="26">
        <v>1</v>
      </c>
      <c r="S235" s="26">
        <v>0</v>
      </c>
    </row>
    <row r="236" spans="1:19">
      <c r="A236">
        <v>2023</v>
      </c>
      <c r="B236" s="2">
        <v>45292</v>
      </c>
      <c r="C236" t="s">
        <v>25</v>
      </c>
      <c r="D236">
        <v>16</v>
      </c>
      <c r="E236" t="s">
        <v>72</v>
      </c>
      <c r="F236">
        <v>1</v>
      </c>
      <c r="G236">
        <v>1</v>
      </c>
      <c r="H236">
        <v>1</v>
      </c>
      <c r="I236" t="s">
        <v>27</v>
      </c>
      <c r="J236" t="s">
        <v>24</v>
      </c>
      <c r="K236">
        <v>20</v>
      </c>
      <c r="L236">
        <v>27</v>
      </c>
      <c r="M236" s="25">
        <v>-7</v>
      </c>
      <c r="N236" s="26">
        <f t="shared" si="12"/>
        <v>0</v>
      </c>
      <c r="O236" s="26">
        <f t="shared" si="13"/>
        <v>1</v>
      </c>
      <c r="P236" s="26">
        <f t="shared" si="14"/>
        <v>0</v>
      </c>
      <c r="Q236" s="26">
        <f t="shared" si="15"/>
        <v>0</v>
      </c>
      <c r="R236" s="26">
        <v>1</v>
      </c>
      <c r="S236" s="26">
        <v>1</v>
      </c>
    </row>
    <row r="237" spans="1:19">
      <c r="A237">
        <v>2024</v>
      </c>
      <c r="B237" s="1">
        <v>46265</v>
      </c>
      <c r="C237" t="s">
        <v>13</v>
      </c>
      <c r="D237">
        <v>18</v>
      </c>
      <c r="E237" t="s">
        <v>41</v>
      </c>
      <c r="F237">
        <v>0</v>
      </c>
      <c r="H237">
        <v>1</v>
      </c>
      <c r="I237" t="s">
        <v>15</v>
      </c>
      <c r="J237" t="s">
        <v>16</v>
      </c>
      <c r="K237">
        <v>63</v>
      </c>
      <c r="L237">
        <v>0</v>
      </c>
      <c r="M237" s="25">
        <v>63</v>
      </c>
      <c r="N237" s="26">
        <f t="shared" si="12"/>
        <v>1</v>
      </c>
      <c r="O237" s="26">
        <f t="shared" si="13"/>
        <v>0</v>
      </c>
      <c r="P237" s="26">
        <f t="shared" si="14"/>
        <v>0</v>
      </c>
      <c r="Q237" s="26">
        <f t="shared" si="15"/>
        <v>1</v>
      </c>
      <c r="R237" s="26">
        <v>0</v>
      </c>
      <c r="S237" s="26">
        <v>1</v>
      </c>
    </row>
    <row r="238" spans="1:19">
      <c r="A238">
        <v>2024</v>
      </c>
      <c r="B238" s="1">
        <v>46272</v>
      </c>
      <c r="C238" t="s">
        <v>13</v>
      </c>
      <c r="D238">
        <v>18</v>
      </c>
      <c r="E238" t="s">
        <v>105</v>
      </c>
      <c r="F238">
        <v>0</v>
      </c>
      <c r="H238">
        <v>1</v>
      </c>
      <c r="I238" t="s">
        <v>15</v>
      </c>
      <c r="J238" t="s">
        <v>16</v>
      </c>
      <c r="K238">
        <v>42</v>
      </c>
      <c r="L238">
        <v>16</v>
      </c>
      <c r="M238" s="25">
        <v>26</v>
      </c>
      <c r="N238" s="26">
        <f t="shared" si="12"/>
        <v>1</v>
      </c>
      <c r="O238" s="26">
        <f t="shared" si="13"/>
        <v>0</v>
      </c>
      <c r="P238" s="26">
        <f t="shared" si="14"/>
        <v>0</v>
      </c>
      <c r="Q238" s="26">
        <f t="shared" si="15"/>
        <v>1</v>
      </c>
      <c r="R238" s="26">
        <v>0</v>
      </c>
      <c r="S238" s="26">
        <v>1</v>
      </c>
    </row>
    <row r="239" spans="1:19">
      <c r="A239">
        <v>2024</v>
      </c>
      <c r="B239" s="1">
        <v>46279</v>
      </c>
      <c r="C239" t="s">
        <v>83</v>
      </c>
      <c r="D239">
        <v>11</v>
      </c>
      <c r="E239" t="s">
        <v>86</v>
      </c>
      <c r="F239">
        <v>0</v>
      </c>
      <c r="H239">
        <v>1</v>
      </c>
      <c r="I239" t="s">
        <v>19</v>
      </c>
      <c r="J239" t="s">
        <v>16</v>
      </c>
      <c r="K239">
        <v>42</v>
      </c>
      <c r="L239">
        <v>10</v>
      </c>
      <c r="M239" s="25">
        <v>32</v>
      </c>
      <c r="N239" s="26">
        <f t="shared" si="12"/>
        <v>0</v>
      </c>
      <c r="O239" s="26">
        <f t="shared" si="13"/>
        <v>0</v>
      </c>
      <c r="P239" s="26">
        <f t="shared" si="14"/>
        <v>1</v>
      </c>
      <c r="Q239" s="26">
        <f t="shared" si="15"/>
        <v>0</v>
      </c>
      <c r="R239" s="26">
        <v>0</v>
      </c>
      <c r="S239" s="26">
        <v>1</v>
      </c>
    </row>
    <row r="240" spans="1:19">
      <c r="A240">
        <v>2024</v>
      </c>
      <c r="B240" s="1">
        <v>46293</v>
      </c>
      <c r="C240" t="s">
        <v>63</v>
      </c>
      <c r="D240">
        <v>18.5</v>
      </c>
      <c r="E240" t="s">
        <v>23</v>
      </c>
      <c r="F240">
        <v>1</v>
      </c>
      <c r="G240">
        <v>2</v>
      </c>
      <c r="H240">
        <v>0</v>
      </c>
      <c r="I240" t="s">
        <v>15</v>
      </c>
      <c r="J240" t="s">
        <v>16</v>
      </c>
      <c r="K240">
        <v>41</v>
      </c>
      <c r="L240">
        <v>34</v>
      </c>
      <c r="M240" s="25">
        <v>7</v>
      </c>
      <c r="N240" s="26">
        <f t="shared" si="12"/>
        <v>1</v>
      </c>
      <c r="O240" s="26">
        <f t="shared" si="13"/>
        <v>0</v>
      </c>
      <c r="P240" s="26">
        <f t="shared" si="14"/>
        <v>0</v>
      </c>
      <c r="Q240" s="26">
        <f t="shared" si="15"/>
        <v>1</v>
      </c>
      <c r="R240" s="26">
        <v>1</v>
      </c>
      <c r="S240" s="26">
        <v>0</v>
      </c>
    </row>
    <row r="241" spans="1:19">
      <c r="A241">
        <v>2024</v>
      </c>
      <c r="B241" s="1">
        <v>46300</v>
      </c>
      <c r="C241" t="s">
        <v>106</v>
      </c>
      <c r="D241">
        <v>15.25</v>
      </c>
      <c r="E241" t="s">
        <v>18</v>
      </c>
      <c r="F241">
        <v>0</v>
      </c>
      <c r="H241">
        <v>0</v>
      </c>
      <c r="I241" t="s">
        <v>19</v>
      </c>
      <c r="J241" t="s">
        <v>24</v>
      </c>
      <c r="K241">
        <v>35</v>
      </c>
      <c r="L241">
        <v>40</v>
      </c>
      <c r="M241" s="25">
        <v>-5</v>
      </c>
      <c r="N241" s="26">
        <f t="shared" si="12"/>
        <v>0</v>
      </c>
      <c r="O241" s="26">
        <f t="shared" si="13"/>
        <v>0</v>
      </c>
      <c r="P241" s="26">
        <f t="shared" si="14"/>
        <v>0</v>
      </c>
      <c r="Q241" s="26">
        <f t="shared" si="15"/>
        <v>0</v>
      </c>
      <c r="R241" s="26">
        <v>0</v>
      </c>
      <c r="S241" s="26">
        <v>0</v>
      </c>
    </row>
    <row r="242" spans="1:19">
      <c r="A242">
        <v>2024</v>
      </c>
      <c r="B242" s="1">
        <v>46307</v>
      </c>
      <c r="C242" t="s">
        <v>83</v>
      </c>
      <c r="D242">
        <v>11</v>
      </c>
      <c r="E242" t="s">
        <v>54</v>
      </c>
      <c r="F242">
        <v>0</v>
      </c>
      <c r="H242">
        <v>0</v>
      </c>
      <c r="I242" t="s">
        <v>15</v>
      </c>
      <c r="J242" t="s">
        <v>16</v>
      </c>
      <c r="K242">
        <v>27</v>
      </c>
      <c r="L242">
        <v>25</v>
      </c>
      <c r="M242" s="25">
        <v>2</v>
      </c>
      <c r="N242" s="26">
        <f t="shared" si="12"/>
        <v>1</v>
      </c>
      <c r="O242" s="26">
        <f t="shared" si="13"/>
        <v>0</v>
      </c>
      <c r="P242" s="26">
        <f t="shared" si="14"/>
        <v>1</v>
      </c>
      <c r="Q242" s="26">
        <f t="shared" si="15"/>
        <v>0</v>
      </c>
      <c r="R242" s="26">
        <v>0</v>
      </c>
      <c r="S242" s="26">
        <v>0</v>
      </c>
    </row>
    <row r="243" spans="1:19">
      <c r="A243">
        <v>2024</v>
      </c>
      <c r="B243" s="1">
        <v>46314</v>
      </c>
      <c r="C243" t="s">
        <v>42</v>
      </c>
      <c r="D243">
        <v>14.5</v>
      </c>
      <c r="E243" t="s">
        <v>31</v>
      </c>
      <c r="F243">
        <v>1</v>
      </c>
      <c r="G243">
        <v>11</v>
      </c>
      <c r="H243">
        <v>0</v>
      </c>
      <c r="I243" t="s">
        <v>19</v>
      </c>
      <c r="J243" t="s">
        <v>24</v>
      </c>
      <c r="K243">
        <v>17</v>
      </c>
      <c r="L243">
        <v>24</v>
      </c>
      <c r="M243" s="25">
        <v>-7</v>
      </c>
      <c r="N243" s="26">
        <f t="shared" si="12"/>
        <v>0</v>
      </c>
      <c r="O243" s="26">
        <f t="shared" si="13"/>
        <v>0</v>
      </c>
      <c r="P243" s="26">
        <f t="shared" si="14"/>
        <v>0</v>
      </c>
      <c r="Q243" s="26">
        <f t="shared" si="15"/>
        <v>0</v>
      </c>
      <c r="R243" s="26">
        <v>1</v>
      </c>
      <c r="S243" s="26">
        <v>0</v>
      </c>
    </row>
    <row r="244" spans="1:19">
      <c r="A244">
        <v>2024</v>
      </c>
      <c r="B244" s="1">
        <v>46321</v>
      </c>
      <c r="C244" t="s">
        <v>42</v>
      </c>
      <c r="D244">
        <v>14.5</v>
      </c>
      <c r="E244" t="s">
        <v>74</v>
      </c>
      <c r="F244">
        <v>1</v>
      </c>
      <c r="G244">
        <v>21</v>
      </c>
      <c r="H244">
        <v>0</v>
      </c>
      <c r="I244" t="s">
        <v>15</v>
      </c>
      <c r="J244" t="s">
        <v>16</v>
      </c>
      <c r="K244">
        <v>34</v>
      </c>
      <c r="L244">
        <v>0</v>
      </c>
      <c r="M244" s="25">
        <v>34</v>
      </c>
      <c r="N244" s="26">
        <f t="shared" si="12"/>
        <v>1</v>
      </c>
      <c r="O244" s="26">
        <f t="shared" si="13"/>
        <v>0</v>
      </c>
      <c r="P244" s="26">
        <f t="shared" si="14"/>
        <v>0</v>
      </c>
      <c r="Q244" s="26">
        <f t="shared" si="15"/>
        <v>0</v>
      </c>
      <c r="R244" s="26">
        <v>1</v>
      </c>
      <c r="S244" s="26">
        <v>0</v>
      </c>
    </row>
    <row r="245" spans="1:19">
      <c r="A245">
        <v>2024</v>
      </c>
      <c r="B245" s="1">
        <v>46335</v>
      </c>
      <c r="C245" t="s">
        <v>63</v>
      </c>
      <c r="D245">
        <v>18.5</v>
      </c>
      <c r="E245" t="s">
        <v>32</v>
      </c>
      <c r="F245">
        <v>1</v>
      </c>
      <c r="G245">
        <v>15</v>
      </c>
      <c r="H245">
        <v>0</v>
      </c>
      <c r="I245" t="s">
        <v>19</v>
      </c>
      <c r="J245" t="s">
        <v>16</v>
      </c>
      <c r="K245">
        <v>42</v>
      </c>
      <c r="L245">
        <v>13</v>
      </c>
      <c r="M245" s="25">
        <v>29</v>
      </c>
      <c r="N245" s="26">
        <f t="shared" si="12"/>
        <v>0</v>
      </c>
      <c r="O245" s="26">
        <f t="shared" si="13"/>
        <v>0</v>
      </c>
      <c r="P245" s="26">
        <f t="shared" si="14"/>
        <v>0</v>
      </c>
      <c r="Q245" s="26">
        <f t="shared" si="15"/>
        <v>1</v>
      </c>
      <c r="R245" s="26">
        <v>1</v>
      </c>
      <c r="S245" s="26">
        <v>0</v>
      </c>
    </row>
    <row r="246" spans="1:19">
      <c r="A246">
        <v>2024</v>
      </c>
      <c r="B246" s="1">
        <v>46342</v>
      </c>
      <c r="C246" t="s">
        <v>69</v>
      </c>
      <c r="D246">
        <v>13</v>
      </c>
      <c r="E246" t="s">
        <v>107</v>
      </c>
      <c r="F246">
        <v>1</v>
      </c>
      <c r="G246">
        <v>7</v>
      </c>
      <c r="H246">
        <v>1</v>
      </c>
      <c r="I246" t="s">
        <v>15</v>
      </c>
      <c r="J246" t="s">
        <v>16</v>
      </c>
      <c r="K246">
        <v>52</v>
      </c>
      <c r="L246">
        <v>7</v>
      </c>
      <c r="M246" s="25">
        <v>45</v>
      </c>
      <c r="N246" s="26">
        <f t="shared" si="12"/>
        <v>1</v>
      </c>
      <c r="O246" s="26">
        <f t="shared" si="13"/>
        <v>0</v>
      </c>
      <c r="P246" s="26">
        <f t="shared" si="14"/>
        <v>0</v>
      </c>
      <c r="Q246" s="26">
        <f t="shared" si="15"/>
        <v>0</v>
      </c>
      <c r="R246" s="26">
        <v>1</v>
      </c>
      <c r="S246" s="26">
        <v>1</v>
      </c>
    </row>
    <row r="247" spans="1:19">
      <c r="A247">
        <v>2024</v>
      </c>
      <c r="B247" s="1">
        <v>46349</v>
      </c>
      <c r="C247" t="s">
        <v>63</v>
      </c>
      <c r="D247">
        <v>18.5</v>
      </c>
      <c r="E247" t="s">
        <v>81</v>
      </c>
      <c r="F247">
        <v>0</v>
      </c>
      <c r="H247">
        <v>0</v>
      </c>
      <c r="I247" t="s">
        <v>19</v>
      </c>
      <c r="J247" t="s">
        <v>24</v>
      </c>
      <c r="K247">
        <v>3</v>
      </c>
      <c r="L247">
        <v>24</v>
      </c>
      <c r="M247" s="25">
        <v>-21</v>
      </c>
      <c r="N247" s="26">
        <f t="shared" si="12"/>
        <v>0</v>
      </c>
      <c r="O247" s="26">
        <f t="shared" si="13"/>
        <v>0</v>
      </c>
      <c r="P247" s="26">
        <f t="shared" si="14"/>
        <v>0</v>
      </c>
      <c r="Q247" s="26">
        <f t="shared" si="15"/>
        <v>1</v>
      </c>
      <c r="R247" s="26">
        <v>0</v>
      </c>
      <c r="S247" s="26">
        <v>0</v>
      </c>
    </row>
    <row r="248" spans="1:19">
      <c r="A248">
        <v>2024</v>
      </c>
      <c r="B248" s="1">
        <v>46356</v>
      </c>
      <c r="C248" t="s">
        <v>42</v>
      </c>
      <c r="D248">
        <v>14.5</v>
      </c>
      <c r="E248" t="s">
        <v>37</v>
      </c>
      <c r="F248">
        <v>0</v>
      </c>
      <c r="H248">
        <v>0</v>
      </c>
      <c r="I248" t="s">
        <v>15</v>
      </c>
      <c r="J248" t="s">
        <v>16</v>
      </c>
      <c r="K248">
        <v>28</v>
      </c>
      <c r="L248">
        <v>14</v>
      </c>
      <c r="M248" s="25">
        <v>14</v>
      </c>
      <c r="N248" s="26">
        <f t="shared" si="12"/>
        <v>1</v>
      </c>
      <c r="O248" s="26">
        <f t="shared" si="13"/>
        <v>0</v>
      </c>
      <c r="P248" s="26">
        <f t="shared" si="14"/>
        <v>0</v>
      </c>
      <c r="Q248" s="26">
        <f t="shared" si="15"/>
        <v>0</v>
      </c>
      <c r="R248" s="26">
        <v>0</v>
      </c>
      <c r="S248" s="26">
        <v>0</v>
      </c>
    </row>
    <row r="249" spans="1:19">
      <c r="A249">
        <v>2024</v>
      </c>
      <c r="B249" s="1">
        <v>46387</v>
      </c>
      <c r="C249" t="s">
        <v>83</v>
      </c>
      <c r="D249">
        <v>11</v>
      </c>
      <c r="E249" t="s">
        <v>72</v>
      </c>
      <c r="F249">
        <v>0</v>
      </c>
      <c r="H249">
        <v>0</v>
      </c>
      <c r="I249" t="s">
        <v>27</v>
      </c>
      <c r="J249" t="s">
        <v>24</v>
      </c>
      <c r="K249">
        <v>13</v>
      </c>
      <c r="L249">
        <v>19</v>
      </c>
      <c r="M249" s="25">
        <v>-6</v>
      </c>
      <c r="N249" s="26">
        <f t="shared" si="12"/>
        <v>0</v>
      </c>
      <c r="O249" s="26">
        <f t="shared" si="13"/>
        <v>1</v>
      </c>
      <c r="P249" s="26">
        <f t="shared" si="14"/>
        <v>1</v>
      </c>
      <c r="Q249" s="26">
        <f t="shared" si="15"/>
        <v>0</v>
      </c>
      <c r="R249" s="26">
        <v>0</v>
      </c>
      <c r="S249" s="26">
        <v>0</v>
      </c>
    </row>
    <row r="250" spans="1:19">
      <c r="A250">
        <v>2025</v>
      </c>
      <c r="B250" s="1">
        <v>46264</v>
      </c>
      <c r="C250" t="s">
        <v>42</v>
      </c>
      <c r="D250">
        <v>14.5</v>
      </c>
      <c r="E250" t="s">
        <v>26</v>
      </c>
      <c r="F250">
        <v>0</v>
      </c>
      <c r="H250">
        <v>1</v>
      </c>
      <c r="I250" t="s">
        <v>19</v>
      </c>
      <c r="J250" t="s">
        <v>24</v>
      </c>
      <c r="K250">
        <v>17</v>
      </c>
      <c r="L250">
        <v>31</v>
      </c>
      <c r="M250" s="25">
        <v>-14</v>
      </c>
      <c r="N250" s="26">
        <f t="shared" si="12"/>
        <v>0</v>
      </c>
      <c r="O250" s="26">
        <f t="shared" si="13"/>
        <v>0</v>
      </c>
      <c r="P250" s="26">
        <f t="shared" si="14"/>
        <v>0</v>
      </c>
      <c r="Q250" s="26">
        <f t="shared" si="15"/>
        <v>0</v>
      </c>
      <c r="R250" s="26">
        <v>0</v>
      </c>
      <c r="S250" s="26">
        <v>1</v>
      </c>
    </row>
    <row r="251" spans="1:19">
      <c r="A251">
        <v>2025</v>
      </c>
      <c r="B251" s="1">
        <v>46271</v>
      </c>
      <c r="C251" t="s">
        <v>22</v>
      </c>
      <c r="D251">
        <v>18.75</v>
      </c>
      <c r="E251" t="s">
        <v>35</v>
      </c>
      <c r="F251">
        <v>0</v>
      </c>
      <c r="H251">
        <v>1</v>
      </c>
      <c r="I251" t="s">
        <v>15</v>
      </c>
      <c r="J251" t="s">
        <v>16</v>
      </c>
      <c r="K251">
        <v>73</v>
      </c>
      <c r="L251">
        <v>0</v>
      </c>
      <c r="M251" s="25">
        <v>73</v>
      </c>
      <c r="N251" s="26">
        <f t="shared" si="12"/>
        <v>1</v>
      </c>
      <c r="O251" s="26">
        <f t="shared" si="13"/>
        <v>0</v>
      </c>
      <c r="P251" s="26">
        <f t="shared" si="14"/>
        <v>0</v>
      </c>
      <c r="Q251" s="26">
        <f t="shared" si="15"/>
        <v>1</v>
      </c>
      <c r="R251" s="26">
        <v>0</v>
      </c>
      <c r="S251" s="26">
        <v>1</v>
      </c>
    </row>
    <row r="252" spans="1:19">
      <c r="A252">
        <v>2025</v>
      </c>
      <c r="B252" s="1">
        <v>46278</v>
      </c>
      <c r="C252" t="s">
        <v>83</v>
      </c>
      <c r="D252">
        <v>11</v>
      </c>
      <c r="E252" t="s">
        <v>86</v>
      </c>
      <c r="F252">
        <v>0</v>
      </c>
      <c r="H252">
        <v>1</v>
      </c>
      <c r="I252" t="s">
        <v>15</v>
      </c>
      <c r="J252" t="s">
        <v>16</v>
      </c>
      <c r="K252">
        <v>38</v>
      </c>
      <c r="L252">
        <v>14</v>
      </c>
      <c r="M252" s="25">
        <v>24</v>
      </c>
      <c r="N252" s="26">
        <f t="shared" si="12"/>
        <v>1</v>
      </c>
      <c r="O252" s="26">
        <f t="shared" si="13"/>
        <v>0</v>
      </c>
      <c r="P252" s="26">
        <f t="shared" si="14"/>
        <v>1</v>
      </c>
      <c r="Q252" s="26">
        <f t="shared" si="15"/>
        <v>0</v>
      </c>
      <c r="R252" s="26">
        <v>0</v>
      </c>
      <c r="S252" s="26">
        <v>1</v>
      </c>
    </row>
    <row r="253" spans="1:19">
      <c r="A253">
        <v>2025</v>
      </c>
      <c r="B253" s="1">
        <v>46292</v>
      </c>
      <c r="C253" t="s">
        <v>63</v>
      </c>
      <c r="D253">
        <v>18.5</v>
      </c>
      <c r="E253" t="s">
        <v>23</v>
      </c>
      <c r="F253">
        <v>1</v>
      </c>
      <c r="G253">
        <v>5</v>
      </c>
      <c r="H253">
        <v>0</v>
      </c>
      <c r="I253" t="s">
        <v>19</v>
      </c>
      <c r="J253" t="s">
        <v>16</v>
      </c>
      <c r="K253">
        <v>24</v>
      </c>
      <c r="L253">
        <v>21</v>
      </c>
      <c r="M253" s="25">
        <v>3</v>
      </c>
      <c r="N253" s="26">
        <f t="shared" si="12"/>
        <v>0</v>
      </c>
      <c r="O253" s="26">
        <f t="shared" si="13"/>
        <v>0</v>
      </c>
      <c r="P253" s="26">
        <f t="shared" si="14"/>
        <v>0</v>
      </c>
      <c r="Q253" s="26">
        <f t="shared" si="15"/>
        <v>1</v>
      </c>
      <c r="R253" s="26">
        <v>1</v>
      </c>
      <c r="S253" s="26">
        <v>0</v>
      </c>
    </row>
    <row r="254" spans="1:19">
      <c r="A254">
        <v>2025</v>
      </c>
      <c r="B254" s="1">
        <v>46299</v>
      </c>
      <c r="C254" t="s">
        <v>42</v>
      </c>
      <c r="D254">
        <v>14.5</v>
      </c>
      <c r="E254" t="s">
        <v>18</v>
      </c>
      <c r="F254">
        <v>1</v>
      </c>
      <c r="G254">
        <v>16</v>
      </c>
      <c r="H254">
        <v>0</v>
      </c>
      <c r="I254" t="s">
        <v>15</v>
      </c>
      <c r="J254" t="s">
        <v>16</v>
      </c>
      <c r="K254">
        <v>30</v>
      </c>
      <c r="L254">
        <v>14</v>
      </c>
      <c r="M254" s="25">
        <v>16</v>
      </c>
      <c r="N254" s="26">
        <f t="shared" si="12"/>
        <v>1</v>
      </c>
      <c r="O254" s="26">
        <f t="shared" si="13"/>
        <v>0</v>
      </c>
      <c r="P254" s="26">
        <f t="shared" si="14"/>
        <v>0</v>
      </c>
      <c r="Q254" s="26">
        <f t="shared" si="15"/>
        <v>0</v>
      </c>
      <c r="R254" s="26">
        <v>1</v>
      </c>
      <c r="S254" s="26">
        <v>0</v>
      </c>
    </row>
    <row r="255" spans="1:19">
      <c r="A255">
        <v>2025</v>
      </c>
      <c r="B255" s="1">
        <v>46306</v>
      </c>
      <c r="C255" t="s">
        <v>83</v>
      </c>
      <c r="D255">
        <v>11</v>
      </c>
      <c r="E255" t="s">
        <v>74</v>
      </c>
      <c r="F255">
        <v>1</v>
      </c>
      <c r="G255">
        <v>14</v>
      </c>
      <c r="H255">
        <v>0</v>
      </c>
      <c r="I255" t="s">
        <v>19</v>
      </c>
      <c r="J255" t="s">
        <v>16</v>
      </c>
      <c r="K255">
        <v>27</v>
      </c>
      <c r="L255">
        <v>24</v>
      </c>
      <c r="M255" s="25">
        <v>3</v>
      </c>
      <c r="N255" s="26">
        <f t="shared" si="12"/>
        <v>0</v>
      </c>
      <c r="O255" s="26">
        <f t="shared" si="13"/>
        <v>0</v>
      </c>
      <c r="P255" s="26">
        <f t="shared" si="14"/>
        <v>1</v>
      </c>
      <c r="Q255" s="26">
        <f t="shared" si="15"/>
        <v>0</v>
      </c>
      <c r="R255" s="26">
        <v>1</v>
      </c>
      <c r="S255" s="26">
        <v>0</v>
      </c>
    </row>
    <row r="256" spans="1:19">
      <c r="A256">
        <v>2025</v>
      </c>
      <c r="B256" s="1">
        <v>46313</v>
      </c>
      <c r="C256" t="s">
        <v>63</v>
      </c>
      <c r="D256">
        <v>18.5</v>
      </c>
      <c r="E256" t="s">
        <v>31</v>
      </c>
      <c r="F256">
        <v>1</v>
      </c>
      <c r="G256">
        <v>11</v>
      </c>
      <c r="H256">
        <v>0</v>
      </c>
      <c r="I256" t="s">
        <v>15</v>
      </c>
      <c r="J256" t="s">
        <v>16</v>
      </c>
      <c r="K256">
        <v>37</v>
      </c>
      <c r="L256">
        <v>20</v>
      </c>
      <c r="M256" s="25">
        <v>17</v>
      </c>
      <c r="N256" s="26">
        <f t="shared" si="12"/>
        <v>1</v>
      </c>
      <c r="O256" s="26">
        <f t="shared" si="13"/>
        <v>0</v>
      </c>
      <c r="P256" s="26">
        <f t="shared" si="14"/>
        <v>0</v>
      </c>
      <c r="Q256" s="26">
        <f t="shared" si="15"/>
        <v>1</v>
      </c>
      <c r="R256" s="26">
        <v>1</v>
      </c>
      <c r="S256" s="26">
        <v>0</v>
      </c>
    </row>
    <row r="257" spans="1:19">
      <c r="A257">
        <v>2025</v>
      </c>
      <c r="B257" s="1">
        <v>46320</v>
      </c>
      <c r="C257" t="s">
        <v>42</v>
      </c>
      <c r="D257">
        <v>14.5</v>
      </c>
      <c r="E257" t="s">
        <v>54</v>
      </c>
      <c r="F257">
        <v>0</v>
      </c>
      <c r="H257">
        <v>0</v>
      </c>
      <c r="I257" t="s">
        <v>19</v>
      </c>
      <c r="J257" t="s">
        <v>16</v>
      </c>
      <c r="K257">
        <v>29</v>
      </c>
      <c r="L257">
        <v>22</v>
      </c>
      <c r="M257" s="25">
        <v>7</v>
      </c>
      <c r="N257" s="26">
        <f t="shared" si="12"/>
        <v>0</v>
      </c>
      <c r="O257" s="26">
        <f t="shared" si="13"/>
        <v>0</v>
      </c>
      <c r="P257" s="26">
        <f t="shared" si="14"/>
        <v>0</v>
      </c>
      <c r="Q257" s="26">
        <f t="shared" si="15"/>
        <v>0</v>
      </c>
      <c r="R257" s="26">
        <v>0</v>
      </c>
      <c r="S257" s="26">
        <v>0</v>
      </c>
    </row>
    <row r="258" spans="1:19">
      <c r="A258">
        <v>2025</v>
      </c>
      <c r="B258" s="1">
        <v>46334</v>
      </c>
      <c r="C258" t="s">
        <v>63</v>
      </c>
      <c r="D258">
        <v>18.5</v>
      </c>
      <c r="E258" t="s">
        <v>32</v>
      </c>
      <c r="F258">
        <v>0</v>
      </c>
      <c r="H258">
        <v>0</v>
      </c>
      <c r="I258" t="s">
        <v>15</v>
      </c>
      <c r="J258" t="s">
        <v>16</v>
      </c>
      <c r="K258">
        <v>20</v>
      </c>
      <c r="L258">
        <v>9</v>
      </c>
      <c r="M258" s="25">
        <v>11</v>
      </c>
      <c r="N258" s="26">
        <f t="shared" si="12"/>
        <v>1</v>
      </c>
      <c r="O258" s="26">
        <f t="shared" si="13"/>
        <v>0</v>
      </c>
      <c r="P258" s="26">
        <f t="shared" si="14"/>
        <v>0</v>
      </c>
      <c r="Q258" s="26">
        <f t="shared" si="15"/>
        <v>1</v>
      </c>
      <c r="R258" s="26">
        <v>0</v>
      </c>
      <c r="S258" s="26">
        <v>0</v>
      </c>
    </row>
    <row r="259" spans="1:19">
      <c r="A259">
        <v>2025</v>
      </c>
      <c r="B259" s="1">
        <v>46341</v>
      </c>
      <c r="C259" t="s">
        <v>42</v>
      </c>
      <c r="D259">
        <v>14.5</v>
      </c>
      <c r="E259" t="s">
        <v>81</v>
      </c>
      <c r="F259">
        <v>1</v>
      </c>
      <c r="G259">
        <v>11</v>
      </c>
      <c r="H259">
        <v>0</v>
      </c>
      <c r="I259" t="s">
        <v>15</v>
      </c>
      <c r="J259" t="s">
        <v>24</v>
      </c>
      <c r="K259">
        <v>21</v>
      </c>
      <c r="L259">
        <v>23</v>
      </c>
      <c r="M259" s="25">
        <v>-2</v>
      </c>
      <c r="N259" s="26">
        <f t="shared" ref="N259:N264" si="16">IF(I259="home",1,0)</f>
        <v>1</v>
      </c>
      <c r="O259" s="26">
        <f t="shared" ref="O259:O264" si="17">IF(I259="neutral",1,0)</f>
        <v>0</v>
      </c>
      <c r="P259" s="26">
        <f t="shared" ref="P259:P264" si="18">IF(D259&lt;12,1,0)</f>
        <v>0</v>
      </c>
      <c r="Q259" s="26">
        <f t="shared" ref="Q259:Q264" si="19">IF(D259&gt;=17,1,0)</f>
        <v>0</v>
      </c>
      <c r="R259" s="26">
        <v>1</v>
      </c>
      <c r="S259" s="26">
        <v>0</v>
      </c>
    </row>
    <row r="260" spans="1:19">
      <c r="A260">
        <v>2025</v>
      </c>
      <c r="B260" s="1">
        <v>46348</v>
      </c>
      <c r="C260" t="s">
        <v>69</v>
      </c>
      <c r="D260">
        <v>13</v>
      </c>
      <c r="E260" t="s">
        <v>108</v>
      </c>
      <c r="F260">
        <v>0</v>
      </c>
      <c r="H260">
        <v>1</v>
      </c>
      <c r="I260" t="s">
        <v>15</v>
      </c>
      <c r="J260" t="s">
        <v>16</v>
      </c>
      <c r="K260">
        <v>56</v>
      </c>
      <c r="L260">
        <v>0</v>
      </c>
      <c r="M260" s="25">
        <v>56</v>
      </c>
      <c r="N260" s="26">
        <f t="shared" si="16"/>
        <v>1</v>
      </c>
      <c r="O260" s="26">
        <f t="shared" si="17"/>
        <v>0</v>
      </c>
      <c r="P260" s="26">
        <f t="shared" si="18"/>
        <v>0</v>
      </c>
      <c r="Q260" s="26">
        <f t="shared" si="19"/>
        <v>0</v>
      </c>
      <c r="R260" s="26">
        <v>0</v>
      </c>
      <c r="S260" s="26">
        <v>1</v>
      </c>
    </row>
    <row r="261" spans="1:19">
      <c r="A261">
        <v>2025</v>
      </c>
      <c r="B261" s="1">
        <v>46355</v>
      </c>
      <c r="C261" t="s">
        <v>63</v>
      </c>
      <c r="D261">
        <v>18.5</v>
      </c>
      <c r="E261" t="s">
        <v>37</v>
      </c>
      <c r="F261">
        <v>0</v>
      </c>
      <c r="H261">
        <v>0</v>
      </c>
      <c r="I261" t="s">
        <v>19</v>
      </c>
      <c r="J261" t="s">
        <v>16</v>
      </c>
      <c r="K261">
        <v>27</v>
      </c>
      <c r="L261">
        <v>20</v>
      </c>
      <c r="M261" s="25">
        <v>7</v>
      </c>
      <c r="N261" s="26">
        <f t="shared" si="16"/>
        <v>0</v>
      </c>
      <c r="O261" s="26">
        <f t="shared" si="17"/>
        <v>0</v>
      </c>
      <c r="P261" s="26">
        <f t="shared" si="18"/>
        <v>0</v>
      </c>
      <c r="Q261" s="26">
        <f t="shared" si="19"/>
        <v>1</v>
      </c>
      <c r="R261" s="26">
        <v>0</v>
      </c>
      <c r="S261" s="26">
        <v>0</v>
      </c>
    </row>
    <row r="262" spans="1:19">
      <c r="A262">
        <v>2025</v>
      </c>
      <c r="B262" s="1">
        <v>46362</v>
      </c>
      <c r="C262" t="s">
        <v>45</v>
      </c>
      <c r="D262">
        <v>15</v>
      </c>
      <c r="E262" t="s">
        <v>23</v>
      </c>
      <c r="F262">
        <v>1</v>
      </c>
      <c r="G262">
        <v>3</v>
      </c>
      <c r="H262">
        <v>0</v>
      </c>
      <c r="I262" t="s">
        <v>27</v>
      </c>
      <c r="J262" t="s">
        <v>24</v>
      </c>
      <c r="K262">
        <v>7</v>
      </c>
      <c r="L262">
        <v>28</v>
      </c>
      <c r="M262" s="25">
        <v>-21</v>
      </c>
      <c r="N262" s="26">
        <f t="shared" si="16"/>
        <v>0</v>
      </c>
      <c r="O262" s="26">
        <f t="shared" si="17"/>
        <v>1</v>
      </c>
      <c r="P262" s="26">
        <f t="shared" si="18"/>
        <v>0</v>
      </c>
      <c r="Q262" s="26">
        <f t="shared" si="19"/>
        <v>0</v>
      </c>
      <c r="R262" s="26">
        <v>1</v>
      </c>
      <c r="S262" s="26">
        <v>0</v>
      </c>
    </row>
    <row r="263" spans="1:19">
      <c r="A263">
        <v>2025</v>
      </c>
      <c r="B263" s="1">
        <v>46375</v>
      </c>
      <c r="C263" t="s">
        <v>36</v>
      </c>
      <c r="D263">
        <v>19</v>
      </c>
      <c r="E263" t="s">
        <v>109</v>
      </c>
      <c r="F263">
        <v>1</v>
      </c>
      <c r="G263">
        <v>8</v>
      </c>
      <c r="H263">
        <v>1</v>
      </c>
      <c r="I263" t="s">
        <v>19</v>
      </c>
      <c r="J263" t="s">
        <v>16</v>
      </c>
      <c r="K263">
        <v>34</v>
      </c>
      <c r="L263">
        <v>24</v>
      </c>
      <c r="M263" s="25">
        <v>10</v>
      </c>
      <c r="N263" s="26">
        <f t="shared" si="16"/>
        <v>0</v>
      </c>
      <c r="O263" s="26">
        <f t="shared" si="17"/>
        <v>0</v>
      </c>
      <c r="P263" s="26">
        <f t="shared" si="18"/>
        <v>0</v>
      </c>
      <c r="Q263" s="26">
        <f t="shared" si="19"/>
        <v>1</v>
      </c>
      <c r="R263" s="26">
        <v>1</v>
      </c>
      <c r="S263" s="26">
        <v>1</v>
      </c>
    </row>
    <row r="264" spans="1:19">
      <c r="A264">
        <v>2025</v>
      </c>
      <c r="B264" s="2">
        <v>46023</v>
      </c>
      <c r="C264" t="s">
        <v>45</v>
      </c>
      <c r="D264">
        <v>15</v>
      </c>
      <c r="E264" t="s">
        <v>110</v>
      </c>
      <c r="F264">
        <v>1</v>
      </c>
      <c r="G264">
        <v>1</v>
      </c>
      <c r="H264">
        <v>1</v>
      </c>
      <c r="I264" t="s">
        <v>27</v>
      </c>
      <c r="J264" t="s">
        <v>24</v>
      </c>
      <c r="K264">
        <v>3</v>
      </c>
      <c r="L264">
        <v>38</v>
      </c>
      <c r="M264" s="25">
        <v>-35</v>
      </c>
      <c r="N264" s="26">
        <f t="shared" si="16"/>
        <v>0</v>
      </c>
      <c r="O264" s="26">
        <f t="shared" si="17"/>
        <v>1</v>
      </c>
      <c r="P264" s="26">
        <f t="shared" si="18"/>
        <v>0</v>
      </c>
      <c r="Q264" s="26">
        <f t="shared" si="19"/>
        <v>0</v>
      </c>
      <c r="R264" s="26">
        <v>1</v>
      </c>
      <c r="S264" s="26">
        <v>1</v>
      </c>
    </row>
    <row r="266" spans="1:19">
      <c r="M266">
        <f>SUM(M2:M264)</f>
        <v>5544</v>
      </c>
      <c r="N266">
        <f t="shared" ref="N266:S266" si="20">SUM(N2:N264)</f>
        <v>131</v>
      </c>
      <c r="O266">
        <f t="shared" si="20"/>
        <v>48</v>
      </c>
      <c r="P266">
        <f t="shared" si="20"/>
        <v>34</v>
      </c>
      <c r="Q266">
        <f t="shared" si="20"/>
        <v>113</v>
      </c>
      <c r="R266">
        <f t="shared" si="20"/>
        <v>123</v>
      </c>
      <c r="S266">
        <f t="shared" si="20"/>
        <v>94</v>
      </c>
    </row>
    <row r="275" spans="6:19">
      <c r="F275" s="3" t="s">
        <v>113</v>
      </c>
      <c r="G275" s="3" t="s">
        <v>118</v>
      </c>
      <c r="H275" s="3" t="s">
        <v>8</v>
      </c>
      <c r="I275" s="4" t="s">
        <v>12</v>
      </c>
      <c r="L275" t="s">
        <v>111</v>
      </c>
      <c r="M275">
        <f>SUMIFS(Table16[Rank], Table16[site], "home")</f>
        <v>16130</v>
      </c>
      <c r="O275">
        <v>131</v>
      </c>
      <c r="R275" s="3" t="s">
        <v>113</v>
      </c>
      <c r="S275" s="3" t="s">
        <v>8</v>
      </c>
    </row>
    <row r="276" spans="6:19">
      <c r="F276" s="3">
        <f>_xlfn.RANK.AVG(Table16[[#This Row],[margin]], Table16[margin], 1)</f>
        <v>1</v>
      </c>
      <c r="G276" s="3">
        <f>COUNTIF(Table16[margin], Table16[[#This Row],[margin]])</f>
        <v>1</v>
      </c>
      <c r="H276" s="5" t="s">
        <v>19</v>
      </c>
      <c r="I276" s="6">
        <v>-21</v>
      </c>
      <c r="L276" t="s">
        <v>112</v>
      </c>
      <c r="M276">
        <f>SUMIFS(Table16[Rank], Table16[site], "away")</f>
        <v>7090</v>
      </c>
      <c r="O276">
        <v>84</v>
      </c>
      <c r="R276" s="3">
        <v>1</v>
      </c>
      <c r="S276" s="5" t="s">
        <v>19</v>
      </c>
    </row>
    <row r="277" spans="6:19">
      <c r="F277" s="3">
        <f>_xlfn.RANK.AVG(Table16[[#This Row],[margin]], Table16[margin], 1)</f>
        <v>2.5</v>
      </c>
      <c r="G277" s="3">
        <f>COUNTIF(Table16[margin], Table16[[#This Row],[margin]])</f>
        <v>2</v>
      </c>
      <c r="H277" s="5" t="s">
        <v>19</v>
      </c>
      <c r="I277" s="6">
        <v>-14</v>
      </c>
      <c r="R277" s="3">
        <v>2.5</v>
      </c>
      <c r="S277" s="5" t="s">
        <v>19</v>
      </c>
    </row>
    <row r="278" spans="6:19">
      <c r="F278" s="3">
        <f>_xlfn.RANK.AVG(Table16[[#This Row],[margin]], Table16[margin], 1)</f>
        <v>2.5</v>
      </c>
      <c r="G278" s="3">
        <f>COUNTIF(Table16[margin], Table16[[#This Row],[margin]])</f>
        <v>2</v>
      </c>
      <c r="H278" s="5" t="s">
        <v>19</v>
      </c>
      <c r="I278" s="6">
        <v>-14</v>
      </c>
      <c r="L278" t="s">
        <v>114</v>
      </c>
      <c r="M278">
        <f>M275-131*(131+1)/2</f>
        <v>7484</v>
      </c>
      <c r="R278" s="3">
        <v>2.5</v>
      </c>
      <c r="S278" s="5" t="s">
        <v>19</v>
      </c>
    </row>
    <row r="279" spans="6:19">
      <c r="F279" s="3">
        <f>_xlfn.RANK.AVG(Table16[[#This Row],[margin]], Table16[margin], 1)</f>
        <v>4</v>
      </c>
      <c r="G279" s="3">
        <f>COUNTIF(Table16[margin], Table16[[#This Row],[margin]])</f>
        <v>1</v>
      </c>
      <c r="H279" s="5" t="s">
        <v>19</v>
      </c>
      <c r="I279" s="6">
        <v>-12</v>
      </c>
      <c r="L279" t="s">
        <v>115</v>
      </c>
      <c r="M279">
        <f>M276-84*(84+1)/2</f>
        <v>3520</v>
      </c>
      <c r="R279" s="3">
        <v>4</v>
      </c>
      <c r="S279" s="5" t="s">
        <v>19</v>
      </c>
    </row>
    <row r="280" spans="6:19">
      <c r="F280" s="3">
        <f>_xlfn.RANK.AVG(Table16[[#This Row],[margin]], Table16[margin], 1)</f>
        <v>5</v>
      </c>
      <c r="G280" s="3">
        <f>COUNTIF(Table16[margin], Table16[[#This Row],[margin]])</f>
        <v>1</v>
      </c>
      <c r="H280" s="5" t="s">
        <v>15</v>
      </c>
      <c r="I280" s="6">
        <v>-10</v>
      </c>
      <c r="R280" s="3">
        <v>5</v>
      </c>
      <c r="S280" s="5" t="s">
        <v>15</v>
      </c>
    </row>
    <row r="281" spans="6:19">
      <c r="F281" s="3">
        <f>_xlfn.RANK.AVG(Table16[[#This Row],[margin]], Table16[margin], 1)</f>
        <v>7.5</v>
      </c>
      <c r="G281" s="3">
        <f>COUNTIF(Table16[margin], Table16[[#This Row],[margin]])</f>
        <v>4</v>
      </c>
      <c r="H281" s="5" t="s">
        <v>19</v>
      </c>
      <c r="I281" s="6">
        <v>-7</v>
      </c>
      <c r="L281" t="s">
        <v>116</v>
      </c>
      <c r="M281">
        <f>(O275*O276)/2</f>
        <v>5502</v>
      </c>
      <c r="R281" s="3">
        <v>7.5</v>
      </c>
      <c r="S281" s="5" t="s">
        <v>19</v>
      </c>
    </row>
    <row r="282" spans="6:19">
      <c r="F282" s="3">
        <f>_xlfn.RANK.AVG(Table16[[#This Row],[margin]], Table16[margin], 1)</f>
        <v>7.5</v>
      </c>
      <c r="G282" s="3">
        <f>COUNTIF(Table16[margin], Table16[[#This Row],[margin]])</f>
        <v>4</v>
      </c>
      <c r="H282" s="5" t="s">
        <v>19</v>
      </c>
      <c r="I282" s="6">
        <v>-7</v>
      </c>
      <c r="L282" t="s">
        <v>117</v>
      </c>
      <c r="M282">
        <f>SQRT(O275*O276*(O275+O276+1)/12)</f>
        <v>445.0528058556647</v>
      </c>
      <c r="R282" s="3">
        <v>7.5</v>
      </c>
      <c r="S282" s="5" t="s">
        <v>19</v>
      </c>
    </row>
    <row r="283" spans="6:19">
      <c r="F283" s="3">
        <f>_xlfn.RANK.AVG(Table16[[#This Row],[margin]], Table16[margin], 1)</f>
        <v>7.5</v>
      </c>
      <c r="G283" s="3">
        <f>COUNTIF(Table16[margin], Table16[[#This Row],[margin]])</f>
        <v>4</v>
      </c>
      <c r="H283" s="5" t="s">
        <v>15</v>
      </c>
      <c r="I283" s="6">
        <v>-7</v>
      </c>
      <c r="R283" s="3">
        <v>7.5</v>
      </c>
      <c r="S283" s="5" t="s">
        <v>15</v>
      </c>
    </row>
    <row r="284" spans="6:19">
      <c r="F284" s="3">
        <f>_xlfn.RANK.AVG(Table16[[#This Row],[margin]], Table16[margin], 1)</f>
        <v>7.5</v>
      </c>
      <c r="G284" s="3">
        <f>COUNTIF(Table16[margin], Table16[[#This Row],[margin]])</f>
        <v>4</v>
      </c>
      <c r="H284" s="5" t="s">
        <v>15</v>
      </c>
      <c r="I284" s="6">
        <v>-7</v>
      </c>
      <c r="L284" s="12" t="s">
        <v>120</v>
      </c>
      <c r="M284" cm="1">
        <f t="array" ref="M284">SUMPRODUCT(Table16[Ties]^2-1)</f>
        <v>7434</v>
      </c>
      <c r="R284" s="3">
        <v>7.5</v>
      </c>
      <c r="S284" s="5" t="s">
        <v>15</v>
      </c>
    </row>
    <row r="285" spans="6:19">
      <c r="F285" s="3">
        <f>_xlfn.RANK.AVG(Table16[[#This Row],[margin]], Table16[margin], 1)</f>
        <v>11</v>
      </c>
      <c r="G285" s="3">
        <f>COUNTIF(Table16[margin], Table16[[#This Row],[margin]])</f>
        <v>3</v>
      </c>
      <c r="H285" s="5" t="s">
        <v>19</v>
      </c>
      <c r="I285" s="6">
        <v>-6</v>
      </c>
      <c r="R285" s="3">
        <v>11</v>
      </c>
      <c r="S285" s="5" t="s">
        <v>19</v>
      </c>
    </row>
    <row r="286" spans="6:19" ht="28.8">
      <c r="F286" s="3">
        <f>_xlfn.RANK.AVG(Table16[[#This Row],[margin]], Table16[margin], 1)</f>
        <v>11</v>
      </c>
      <c r="G286" s="3">
        <f>COUNTIF(Table16[margin], Table16[[#This Row],[margin]])</f>
        <v>3</v>
      </c>
      <c r="H286" s="5" t="s">
        <v>19</v>
      </c>
      <c r="I286" s="6">
        <v>-6</v>
      </c>
      <c r="L286" s="12" t="s">
        <v>119</v>
      </c>
      <c r="M286">
        <f>SQRT(O275*O276/12*((O275+O276+1)-M284/((O275+O276)*(O275+O276-1))))</f>
        <v>444.88631922708868</v>
      </c>
      <c r="R286" s="3">
        <v>11</v>
      </c>
      <c r="S286" s="5" t="s">
        <v>19</v>
      </c>
    </row>
    <row r="287" spans="6:19">
      <c r="F287" s="3">
        <f>_xlfn.RANK.AVG(Table16[[#This Row],[margin]], Table16[margin], 1)</f>
        <v>11</v>
      </c>
      <c r="G287" s="3">
        <f>COUNTIF(Table16[margin], Table16[[#This Row],[margin]])</f>
        <v>3</v>
      </c>
      <c r="H287" s="5" t="s">
        <v>15</v>
      </c>
      <c r="I287" s="6">
        <v>-6</v>
      </c>
      <c r="R287" s="3">
        <v>11</v>
      </c>
      <c r="S287" s="5" t="s">
        <v>15</v>
      </c>
    </row>
    <row r="288" spans="6:19">
      <c r="F288" s="3">
        <f>_xlfn.RANK.AVG(Table16[[#This Row],[margin]], Table16[margin], 1)</f>
        <v>14.5</v>
      </c>
      <c r="G288" s="3">
        <f>COUNTIF(Table16[margin], Table16[[#This Row],[margin]])</f>
        <v>4</v>
      </c>
      <c r="H288" s="5" t="s">
        <v>19</v>
      </c>
      <c r="I288" s="6">
        <v>-5</v>
      </c>
      <c r="L288" t="s">
        <v>121</v>
      </c>
      <c r="M288">
        <f>(M278-M281)/M286</f>
        <v>4.4550706873687966</v>
      </c>
      <c r="R288" s="3">
        <v>14.5</v>
      </c>
      <c r="S288" s="5" t="s">
        <v>19</v>
      </c>
    </row>
    <row r="289" spans="6:19">
      <c r="F289" s="3">
        <f>_xlfn.RANK.AVG(Table16[[#This Row],[margin]], Table16[margin], 1)</f>
        <v>14.5</v>
      </c>
      <c r="G289" s="3">
        <f>COUNTIF(Table16[margin], Table16[[#This Row],[margin]])</f>
        <v>4</v>
      </c>
      <c r="H289" s="5" t="s">
        <v>19</v>
      </c>
      <c r="I289" s="6">
        <v>-5</v>
      </c>
      <c r="R289" s="3">
        <v>14.5</v>
      </c>
      <c r="S289" s="5" t="s">
        <v>19</v>
      </c>
    </row>
    <row r="290" spans="6:19">
      <c r="F290" s="3">
        <f>_xlfn.RANK.AVG(Table16[[#This Row],[margin]], Table16[margin], 1)</f>
        <v>14.5</v>
      </c>
      <c r="G290" s="3">
        <f>COUNTIF(Table16[margin], Table16[[#This Row],[margin]])</f>
        <v>4</v>
      </c>
      <c r="H290" s="5" t="s">
        <v>15</v>
      </c>
      <c r="I290" s="6">
        <v>-5</v>
      </c>
      <c r="L290" t="s">
        <v>122</v>
      </c>
      <c r="M290" s="13">
        <f>2*_xlfn.NORM.S.DIST(-ABS(M288),TRUE)</f>
        <v>8.3865558017310508E-6</v>
      </c>
      <c r="R290" s="3">
        <v>14.5</v>
      </c>
      <c r="S290" s="5" t="s">
        <v>15</v>
      </c>
    </row>
    <row r="291" spans="6:19">
      <c r="F291" s="3">
        <f>_xlfn.RANK.AVG(Table16[[#This Row],[margin]], Table16[margin], 1)</f>
        <v>14.5</v>
      </c>
      <c r="G291" s="3">
        <f>COUNTIF(Table16[margin], Table16[[#This Row],[margin]])</f>
        <v>4</v>
      </c>
      <c r="H291" s="5" t="s">
        <v>15</v>
      </c>
      <c r="I291" s="6">
        <v>-5</v>
      </c>
      <c r="R291" s="3">
        <v>14.5</v>
      </c>
      <c r="S291" s="5" t="s">
        <v>15</v>
      </c>
    </row>
    <row r="292" spans="6:19">
      <c r="F292" s="3">
        <f>_xlfn.RANK.AVG(Table16[[#This Row],[margin]], Table16[margin], 1)</f>
        <v>19.5</v>
      </c>
      <c r="G292" s="3">
        <f>COUNTIF(Table16[margin], Table16[[#This Row],[margin]])</f>
        <v>6</v>
      </c>
      <c r="H292" s="5" t="s">
        <v>19</v>
      </c>
      <c r="I292" s="6">
        <v>-3</v>
      </c>
      <c r="R292" s="3">
        <v>19.5</v>
      </c>
      <c r="S292" s="5" t="s">
        <v>19</v>
      </c>
    </row>
    <row r="293" spans="6:19">
      <c r="F293" s="3">
        <f>_xlfn.RANK.AVG(Table16[[#This Row],[margin]], Table16[margin], 1)</f>
        <v>19.5</v>
      </c>
      <c r="G293" s="3">
        <f>COUNTIF(Table16[margin], Table16[[#This Row],[margin]])</f>
        <v>6</v>
      </c>
      <c r="H293" s="5" t="s">
        <v>19</v>
      </c>
      <c r="I293" s="6">
        <v>-3</v>
      </c>
      <c r="R293" s="3">
        <v>19.5</v>
      </c>
      <c r="S293" s="5" t="s">
        <v>19</v>
      </c>
    </row>
    <row r="294" spans="6:19">
      <c r="F294" s="3">
        <f>_xlfn.RANK.AVG(Table16[[#This Row],[margin]], Table16[margin], 1)</f>
        <v>19.5</v>
      </c>
      <c r="G294" s="3">
        <f>COUNTIF(Table16[margin], Table16[[#This Row],[margin]])</f>
        <v>6</v>
      </c>
      <c r="H294" s="5" t="s">
        <v>19</v>
      </c>
      <c r="I294" s="6">
        <v>-3</v>
      </c>
      <c r="R294" s="3">
        <v>19.5</v>
      </c>
      <c r="S294" s="5" t="s">
        <v>19</v>
      </c>
    </row>
    <row r="295" spans="6:19">
      <c r="F295" s="3">
        <f>_xlfn.RANK.AVG(Table16[[#This Row],[margin]], Table16[margin], 1)</f>
        <v>19.5</v>
      </c>
      <c r="G295" s="3">
        <f>COUNTIF(Table16[margin], Table16[[#This Row],[margin]])</f>
        <v>6</v>
      </c>
      <c r="H295" s="5" t="s">
        <v>19</v>
      </c>
      <c r="I295" s="6">
        <v>-3</v>
      </c>
      <c r="R295" s="3">
        <v>19.5</v>
      </c>
      <c r="S295" s="5" t="s">
        <v>19</v>
      </c>
    </row>
    <row r="296" spans="6:19">
      <c r="F296" s="3">
        <f>_xlfn.RANK.AVG(Table16[[#This Row],[margin]], Table16[margin], 1)</f>
        <v>19.5</v>
      </c>
      <c r="G296" s="3">
        <f>COUNTIF(Table16[margin], Table16[[#This Row],[margin]])</f>
        <v>6</v>
      </c>
      <c r="H296" s="5" t="s">
        <v>15</v>
      </c>
      <c r="I296" s="6">
        <v>-3</v>
      </c>
      <c r="R296" s="3">
        <v>19.5</v>
      </c>
      <c r="S296" s="5" t="s">
        <v>15</v>
      </c>
    </row>
    <row r="297" spans="6:19">
      <c r="F297" s="3">
        <f>_xlfn.RANK.AVG(Table16[[#This Row],[margin]], Table16[margin], 1)</f>
        <v>19.5</v>
      </c>
      <c r="G297" s="3">
        <f>COUNTIF(Table16[margin], Table16[[#This Row],[margin]])</f>
        <v>6</v>
      </c>
      <c r="H297" s="5" t="s">
        <v>15</v>
      </c>
      <c r="I297" s="6">
        <v>-3</v>
      </c>
      <c r="R297" s="3">
        <v>19.5</v>
      </c>
      <c r="S297" s="5" t="s">
        <v>15</v>
      </c>
    </row>
    <row r="298" spans="6:19">
      <c r="F298" s="3">
        <f>_xlfn.RANK.AVG(Table16[[#This Row],[margin]], Table16[margin], 1)</f>
        <v>23</v>
      </c>
      <c r="G298" s="3">
        <f>COUNTIF(Table16[margin], Table16[[#This Row],[margin]])</f>
        <v>1</v>
      </c>
      <c r="H298" s="5" t="s">
        <v>15</v>
      </c>
      <c r="I298" s="6">
        <v>-2</v>
      </c>
      <c r="R298" s="3">
        <v>23</v>
      </c>
      <c r="S298" s="5" t="s">
        <v>15</v>
      </c>
    </row>
    <row r="299" spans="6:19">
      <c r="F299" s="3">
        <f>_xlfn.RANK.AVG(Table16[[#This Row],[margin]], Table16[margin], 1)</f>
        <v>24.5</v>
      </c>
      <c r="G299" s="3">
        <f>COUNTIF(Table16[margin], Table16[[#This Row],[margin]])</f>
        <v>2</v>
      </c>
      <c r="H299" s="5" t="s">
        <v>19</v>
      </c>
      <c r="I299" s="6">
        <v>-1</v>
      </c>
      <c r="R299" s="3">
        <v>24.5</v>
      </c>
      <c r="S299" s="5" t="s">
        <v>19</v>
      </c>
    </row>
    <row r="300" spans="6:19">
      <c r="F300" s="3">
        <f>_xlfn.RANK.AVG(Table16[[#This Row],[margin]], Table16[margin], 1)</f>
        <v>24.5</v>
      </c>
      <c r="G300" s="3">
        <f>COUNTIF(Table16[margin], Table16[[#This Row],[margin]])</f>
        <v>2</v>
      </c>
      <c r="H300" s="5" t="s">
        <v>15</v>
      </c>
      <c r="I300" s="6">
        <v>-1</v>
      </c>
      <c r="R300" s="3">
        <v>24.5</v>
      </c>
      <c r="S300" s="5" t="s">
        <v>15</v>
      </c>
    </row>
    <row r="301" spans="6:19">
      <c r="F301" s="3">
        <f>_xlfn.RANK.AVG(Table16[[#This Row],[margin]], Table16[margin], 1)</f>
        <v>26.5</v>
      </c>
      <c r="G301" s="3">
        <f>COUNTIF(Table16[margin], Table16[[#This Row],[margin]])</f>
        <v>2</v>
      </c>
      <c r="H301" s="5" t="s">
        <v>19</v>
      </c>
      <c r="I301" s="6">
        <v>1</v>
      </c>
      <c r="R301" s="3">
        <v>26.5</v>
      </c>
      <c r="S301" s="5" t="s">
        <v>19</v>
      </c>
    </row>
    <row r="302" spans="6:19">
      <c r="F302" s="3">
        <f>_xlfn.RANK.AVG(Table16[[#This Row],[margin]], Table16[margin], 1)</f>
        <v>26.5</v>
      </c>
      <c r="G302" s="3">
        <f>COUNTIF(Table16[margin], Table16[[#This Row],[margin]])</f>
        <v>2</v>
      </c>
      <c r="H302" s="5" t="s">
        <v>19</v>
      </c>
      <c r="I302" s="6">
        <v>1</v>
      </c>
      <c r="R302" s="3">
        <v>26.5</v>
      </c>
      <c r="S302" s="5" t="s">
        <v>19</v>
      </c>
    </row>
    <row r="303" spans="6:19">
      <c r="F303" s="3">
        <f>_xlfn.RANK.AVG(Table16[[#This Row],[margin]], Table16[margin], 1)</f>
        <v>29.5</v>
      </c>
      <c r="G303" s="3">
        <f>COUNTIF(Table16[margin], Table16[[#This Row],[margin]])</f>
        <v>4</v>
      </c>
      <c r="H303" s="5" t="s">
        <v>19</v>
      </c>
      <c r="I303" s="6">
        <v>2</v>
      </c>
      <c r="R303" s="3">
        <v>29.5</v>
      </c>
      <c r="S303" s="5" t="s">
        <v>19</v>
      </c>
    </row>
    <row r="304" spans="6:19">
      <c r="F304" s="3">
        <f>_xlfn.RANK.AVG(Table16[[#This Row],[margin]], Table16[margin], 1)</f>
        <v>29.5</v>
      </c>
      <c r="G304" s="3">
        <f>COUNTIF(Table16[margin], Table16[[#This Row],[margin]])</f>
        <v>4</v>
      </c>
      <c r="H304" s="5" t="s">
        <v>19</v>
      </c>
      <c r="I304" s="6">
        <v>2</v>
      </c>
      <c r="R304" s="3">
        <v>29.5</v>
      </c>
      <c r="S304" s="5" t="s">
        <v>19</v>
      </c>
    </row>
    <row r="305" spans="6:19">
      <c r="F305" s="3">
        <f>_xlfn.RANK.AVG(Table16[[#This Row],[margin]], Table16[margin], 1)</f>
        <v>29.5</v>
      </c>
      <c r="G305" s="3">
        <f>COUNTIF(Table16[margin], Table16[[#This Row],[margin]])</f>
        <v>4</v>
      </c>
      <c r="H305" s="5" t="s">
        <v>15</v>
      </c>
      <c r="I305" s="6">
        <v>2</v>
      </c>
      <c r="R305" s="3">
        <v>29.5</v>
      </c>
      <c r="S305" s="5" t="s">
        <v>15</v>
      </c>
    </row>
    <row r="306" spans="6:19">
      <c r="F306" s="3">
        <f>_xlfn.RANK.AVG(Table16[[#This Row],[margin]], Table16[margin], 1)</f>
        <v>29.5</v>
      </c>
      <c r="G306" s="3">
        <f>COUNTIF(Table16[margin], Table16[[#This Row],[margin]])</f>
        <v>4</v>
      </c>
      <c r="H306" s="5" t="s">
        <v>15</v>
      </c>
      <c r="I306" s="6">
        <v>2</v>
      </c>
      <c r="R306" s="3">
        <v>29.5</v>
      </c>
      <c r="S306" s="5" t="s">
        <v>15</v>
      </c>
    </row>
    <row r="307" spans="6:19">
      <c r="F307" s="3">
        <f>_xlfn.RANK.AVG(Table16[[#This Row],[margin]], Table16[margin], 1)</f>
        <v>35</v>
      </c>
      <c r="G307" s="3">
        <f>COUNTIF(Table16[margin], Table16[[#This Row],[margin]])</f>
        <v>7</v>
      </c>
      <c r="H307" s="5" t="s">
        <v>19</v>
      </c>
      <c r="I307" s="6">
        <v>3</v>
      </c>
      <c r="R307" s="3">
        <v>35</v>
      </c>
      <c r="S307" s="5" t="s">
        <v>19</v>
      </c>
    </row>
    <row r="308" spans="6:19">
      <c r="F308" s="3">
        <f>_xlfn.RANK.AVG(Table16[[#This Row],[margin]], Table16[margin], 1)</f>
        <v>35</v>
      </c>
      <c r="G308" s="3">
        <f>COUNTIF(Table16[margin], Table16[[#This Row],[margin]])</f>
        <v>7</v>
      </c>
      <c r="H308" s="5" t="s">
        <v>19</v>
      </c>
      <c r="I308" s="6">
        <v>3</v>
      </c>
      <c r="R308" s="3">
        <v>35</v>
      </c>
      <c r="S308" s="5" t="s">
        <v>19</v>
      </c>
    </row>
    <row r="309" spans="6:19">
      <c r="F309" s="3">
        <f>_xlfn.RANK.AVG(Table16[[#This Row],[margin]], Table16[margin], 1)</f>
        <v>35</v>
      </c>
      <c r="G309" s="3">
        <f>COUNTIF(Table16[margin], Table16[[#This Row],[margin]])</f>
        <v>7</v>
      </c>
      <c r="H309" s="5" t="s">
        <v>19</v>
      </c>
      <c r="I309" s="6">
        <v>3</v>
      </c>
      <c r="R309" s="3">
        <v>35</v>
      </c>
      <c r="S309" s="5" t="s">
        <v>19</v>
      </c>
    </row>
    <row r="310" spans="6:19">
      <c r="F310" s="3">
        <f>_xlfn.RANK.AVG(Table16[[#This Row],[margin]], Table16[margin], 1)</f>
        <v>35</v>
      </c>
      <c r="G310" s="3">
        <f>COUNTIF(Table16[margin], Table16[[#This Row],[margin]])</f>
        <v>7</v>
      </c>
      <c r="H310" s="5" t="s">
        <v>19</v>
      </c>
      <c r="I310" s="6">
        <v>3</v>
      </c>
      <c r="R310" s="3">
        <v>35</v>
      </c>
      <c r="S310" s="5" t="s">
        <v>19</v>
      </c>
    </row>
    <row r="311" spans="6:19">
      <c r="F311" s="3">
        <f>_xlfn.RANK.AVG(Table16[[#This Row],[margin]], Table16[margin], 1)</f>
        <v>35</v>
      </c>
      <c r="G311" s="3">
        <f>COUNTIF(Table16[margin], Table16[[#This Row],[margin]])</f>
        <v>7</v>
      </c>
      <c r="H311" s="5" t="s">
        <v>15</v>
      </c>
      <c r="I311" s="6">
        <v>3</v>
      </c>
      <c r="R311" s="3">
        <v>35</v>
      </c>
      <c r="S311" s="5" t="s">
        <v>15</v>
      </c>
    </row>
    <row r="312" spans="6:19">
      <c r="F312" s="3">
        <f>_xlfn.RANK.AVG(Table16[[#This Row],[margin]], Table16[margin], 1)</f>
        <v>35</v>
      </c>
      <c r="G312" s="3">
        <f>COUNTIF(Table16[margin], Table16[[#This Row],[margin]])</f>
        <v>7</v>
      </c>
      <c r="H312" s="5" t="s">
        <v>15</v>
      </c>
      <c r="I312" s="6">
        <v>3</v>
      </c>
      <c r="R312" s="3">
        <v>35</v>
      </c>
      <c r="S312" s="5" t="s">
        <v>15</v>
      </c>
    </row>
    <row r="313" spans="6:19">
      <c r="F313" s="3">
        <f>_xlfn.RANK.AVG(Table16[[#This Row],[margin]], Table16[margin], 1)</f>
        <v>35</v>
      </c>
      <c r="G313" s="3">
        <f>COUNTIF(Table16[margin], Table16[[#This Row],[margin]])</f>
        <v>7</v>
      </c>
      <c r="H313" s="5" t="s">
        <v>15</v>
      </c>
      <c r="I313" s="6">
        <v>3</v>
      </c>
      <c r="R313" s="3">
        <v>35</v>
      </c>
      <c r="S313" s="5" t="s">
        <v>15</v>
      </c>
    </row>
    <row r="314" spans="6:19">
      <c r="F314" s="3">
        <f>_xlfn.RANK.AVG(Table16[[#This Row],[margin]], Table16[margin], 1)</f>
        <v>40.5</v>
      </c>
      <c r="G314" s="3">
        <f>COUNTIF(Table16[margin], Table16[[#This Row],[margin]])</f>
        <v>4</v>
      </c>
      <c r="H314" s="5" t="s">
        <v>19</v>
      </c>
      <c r="I314" s="6">
        <v>4</v>
      </c>
      <c r="R314" s="3">
        <v>40.5</v>
      </c>
      <c r="S314" s="5" t="s">
        <v>19</v>
      </c>
    </row>
    <row r="315" spans="6:19">
      <c r="F315" s="3">
        <f>_xlfn.RANK.AVG(Table16[[#This Row],[margin]], Table16[margin], 1)</f>
        <v>40.5</v>
      </c>
      <c r="G315" s="3">
        <f>COUNTIF(Table16[margin], Table16[[#This Row],[margin]])</f>
        <v>4</v>
      </c>
      <c r="H315" s="5" t="s">
        <v>19</v>
      </c>
      <c r="I315" s="6">
        <v>4</v>
      </c>
      <c r="R315" s="3">
        <v>40.5</v>
      </c>
      <c r="S315" s="5" t="s">
        <v>19</v>
      </c>
    </row>
    <row r="316" spans="6:19">
      <c r="F316" s="3">
        <f>_xlfn.RANK.AVG(Table16[[#This Row],[margin]], Table16[margin], 1)</f>
        <v>40.5</v>
      </c>
      <c r="G316" s="3">
        <f>COUNTIF(Table16[margin], Table16[[#This Row],[margin]])</f>
        <v>4</v>
      </c>
      <c r="H316" s="5" t="s">
        <v>15</v>
      </c>
      <c r="I316" s="6">
        <v>4</v>
      </c>
      <c r="R316" s="3">
        <v>40.5</v>
      </c>
      <c r="S316" s="5" t="s">
        <v>15</v>
      </c>
    </row>
    <row r="317" spans="6:19">
      <c r="F317" s="3">
        <f>_xlfn.RANK.AVG(Table16[[#This Row],[margin]], Table16[margin], 1)</f>
        <v>40.5</v>
      </c>
      <c r="G317" s="3">
        <f>COUNTIF(Table16[margin], Table16[[#This Row],[margin]])</f>
        <v>4</v>
      </c>
      <c r="H317" s="5" t="s">
        <v>15</v>
      </c>
      <c r="I317" s="6">
        <v>4</v>
      </c>
      <c r="R317" s="3">
        <v>40.5</v>
      </c>
      <c r="S317" s="5" t="s">
        <v>15</v>
      </c>
    </row>
    <row r="318" spans="6:19">
      <c r="F318" s="3">
        <f>_xlfn.RANK.AVG(Table16[[#This Row],[margin]], Table16[margin], 1)</f>
        <v>44.5</v>
      </c>
      <c r="G318" s="3">
        <f>COUNTIF(Table16[margin], Table16[[#This Row],[margin]])</f>
        <v>4</v>
      </c>
      <c r="H318" s="5" t="s">
        <v>19</v>
      </c>
      <c r="I318" s="6">
        <v>5</v>
      </c>
      <c r="R318" s="3">
        <v>44.5</v>
      </c>
      <c r="S318" s="5" t="s">
        <v>19</v>
      </c>
    </row>
    <row r="319" spans="6:19">
      <c r="F319" s="3">
        <f>_xlfn.RANK.AVG(Table16[[#This Row],[margin]], Table16[margin], 1)</f>
        <v>44.5</v>
      </c>
      <c r="G319" s="3">
        <f>COUNTIF(Table16[margin], Table16[[#This Row],[margin]])</f>
        <v>4</v>
      </c>
      <c r="H319" s="5" t="s">
        <v>19</v>
      </c>
      <c r="I319" s="6">
        <v>5</v>
      </c>
      <c r="R319" s="3">
        <v>44.5</v>
      </c>
      <c r="S319" s="5" t="s">
        <v>19</v>
      </c>
    </row>
    <row r="320" spans="6:19">
      <c r="F320" s="3">
        <f>_xlfn.RANK.AVG(Table16[[#This Row],[margin]], Table16[margin], 1)</f>
        <v>44.5</v>
      </c>
      <c r="G320" s="3">
        <f>COUNTIF(Table16[margin], Table16[[#This Row],[margin]])</f>
        <v>4</v>
      </c>
      <c r="H320" s="5" t="s">
        <v>15</v>
      </c>
      <c r="I320" s="6">
        <v>5</v>
      </c>
      <c r="R320" s="3">
        <v>44.5</v>
      </c>
      <c r="S320" s="5" t="s">
        <v>15</v>
      </c>
    </row>
    <row r="321" spans="6:19">
      <c r="F321" s="3">
        <f>_xlfn.RANK.AVG(Table16[[#This Row],[margin]], Table16[margin], 1)</f>
        <v>44.5</v>
      </c>
      <c r="G321" s="3">
        <f>COUNTIF(Table16[margin], Table16[[#This Row],[margin]])</f>
        <v>4</v>
      </c>
      <c r="H321" s="5" t="s">
        <v>15</v>
      </c>
      <c r="I321" s="6">
        <v>5</v>
      </c>
      <c r="R321" s="3">
        <v>44.5</v>
      </c>
      <c r="S321" s="5" t="s">
        <v>15</v>
      </c>
    </row>
    <row r="322" spans="6:19">
      <c r="F322" s="3">
        <f>_xlfn.RANK.AVG(Table16[[#This Row],[margin]], Table16[margin], 1)</f>
        <v>49</v>
      </c>
      <c r="G322" s="3">
        <f>COUNTIF(Table16[margin], Table16[[#This Row],[margin]])</f>
        <v>5</v>
      </c>
      <c r="H322" s="5" t="s">
        <v>19</v>
      </c>
      <c r="I322" s="6">
        <v>6</v>
      </c>
      <c r="R322" s="3">
        <v>49</v>
      </c>
      <c r="S322" s="5" t="s">
        <v>19</v>
      </c>
    </row>
    <row r="323" spans="6:19">
      <c r="F323" s="3">
        <f>_xlfn.RANK.AVG(Table16[[#This Row],[margin]], Table16[margin], 1)</f>
        <v>49</v>
      </c>
      <c r="G323" s="3">
        <f>COUNTIF(Table16[margin], Table16[[#This Row],[margin]])</f>
        <v>5</v>
      </c>
      <c r="H323" s="5" t="s">
        <v>19</v>
      </c>
      <c r="I323" s="6">
        <v>6</v>
      </c>
      <c r="R323" s="3">
        <v>49</v>
      </c>
      <c r="S323" s="5" t="s">
        <v>19</v>
      </c>
    </row>
    <row r="324" spans="6:19">
      <c r="F324" s="3">
        <f>_xlfn.RANK.AVG(Table16[[#This Row],[margin]], Table16[margin], 1)</f>
        <v>49</v>
      </c>
      <c r="G324" s="3">
        <f>COUNTIF(Table16[margin], Table16[[#This Row],[margin]])</f>
        <v>5</v>
      </c>
      <c r="H324" s="5" t="s">
        <v>19</v>
      </c>
      <c r="I324" s="6">
        <v>6</v>
      </c>
      <c r="R324" s="3">
        <v>49</v>
      </c>
      <c r="S324" s="5" t="s">
        <v>19</v>
      </c>
    </row>
    <row r="325" spans="6:19">
      <c r="F325" s="3">
        <f>_xlfn.RANK.AVG(Table16[[#This Row],[margin]], Table16[margin], 1)</f>
        <v>49</v>
      </c>
      <c r="G325" s="3">
        <f>COUNTIF(Table16[margin], Table16[[#This Row],[margin]])</f>
        <v>5</v>
      </c>
      <c r="H325" s="5" t="s">
        <v>15</v>
      </c>
      <c r="I325" s="6">
        <v>6</v>
      </c>
      <c r="R325" s="3">
        <v>49</v>
      </c>
      <c r="S325" s="5" t="s">
        <v>15</v>
      </c>
    </row>
    <row r="326" spans="6:19">
      <c r="F326" s="3">
        <f>_xlfn.RANK.AVG(Table16[[#This Row],[margin]], Table16[margin], 1)</f>
        <v>49</v>
      </c>
      <c r="G326" s="3">
        <f>COUNTIF(Table16[margin], Table16[[#This Row],[margin]])</f>
        <v>5</v>
      </c>
      <c r="H326" s="5" t="s">
        <v>15</v>
      </c>
      <c r="I326" s="6">
        <v>6</v>
      </c>
      <c r="R326" s="3">
        <v>49</v>
      </c>
      <c r="S326" s="5" t="s">
        <v>15</v>
      </c>
    </row>
    <row r="327" spans="6:19">
      <c r="F327" s="3">
        <f>_xlfn.RANK.AVG(Table16[[#This Row],[margin]], Table16[margin], 1)</f>
        <v>55</v>
      </c>
      <c r="G327" s="3">
        <f>COUNTIF(Table16[margin], Table16[[#This Row],[margin]])</f>
        <v>7</v>
      </c>
      <c r="H327" s="5" t="s">
        <v>19</v>
      </c>
      <c r="I327" s="6">
        <v>7</v>
      </c>
      <c r="R327" s="3">
        <v>55</v>
      </c>
      <c r="S327" s="5" t="s">
        <v>19</v>
      </c>
    </row>
    <row r="328" spans="6:19">
      <c r="F328" s="3">
        <f>_xlfn.RANK.AVG(Table16[[#This Row],[margin]], Table16[margin], 1)</f>
        <v>55</v>
      </c>
      <c r="G328" s="3">
        <f>COUNTIF(Table16[margin], Table16[[#This Row],[margin]])</f>
        <v>7</v>
      </c>
      <c r="H328" s="5" t="s">
        <v>19</v>
      </c>
      <c r="I328" s="6">
        <v>7</v>
      </c>
      <c r="R328" s="3">
        <v>55</v>
      </c>
      <c r="S328" s="5" t="s">
        <v>19</v>
      </c>
    </row>
    <row r="329" spans="6:19">
      <c r="F329" s="3">
        <f>_xlfn.RANK.AVG(Table16[[#This Row],[margin]], Table16[margin], 1)</f>
        <v>55</v>
      </c>
      <c r="G329" s="3">
        <f>COUNTIF(Table16[margin], Table16[[#This Row],[margin]])</f>
        <v>7</v>
      </c>
      <c r="H329" s="5" t="s">
        <v>19</v>
      </c>
      <c r="I329" s="6">
        <v>7</v>
      </c>
      <c r="R329" s="3">
        <v>55</v>
      </c>
      <c r="S329" s="5" t="s">
        <v>19</v>
      </c>
    </row>
    <row r="330" spans="6:19">
      <c r="F330" s="3">
        <f>_xlfn.RANK.AVG(Table16[[#This Row],[margin]], Table16[margin], 1)</f>
        <v>55</v>
      </c>
      <c r="G330" s="3">
        <f>COUNTIF(Table16[margin], Table16[[#This Row],[margin]])</f>
        <v>7</v>
      </c>
      <c r="H330" s="5" t="s">
        <v>19</v>
      </c>
      <c r="I330" s="6">
        <v>7</v>
      </c>
      <c r="R330" s="3">
        <v>55</v>
      </c>
      <c r="S330" s="5" t="s">
        <v>19</v>
      </c>
    </row>
    <row r="331" spans="6:19">
      <c r="F331" s="3">
        <f>_xlfn.RANK.AVG(Table16[[#This Row],[margin]], Table16[margin], 1)</f>
        <v>55</v>
      </c>
      <c r="G331" s="3">
        <f>COUNTIF(Table16[margin], Table16[[#This Row],[margin]])</f>
        <v>7</v>
      </c>
      <c r="H331" s="5" t="s">
        <v>19</v>
      </c>
      <c r="I331" s="6">
        <v>7</v>
      </c>
      <c r="R331" s="3">
        <v>55</v>
      </c>
      <c r="S331" s="5" t="s">
        <v>19</v>
      </c>
    </row>
    <row r="332" spans="6:19">
      <c r="F332" s="3">
        <f>_xlfn.RANK.AVG(Table16[[#This Row],[margin]], Table16[margin], 1)</f>
        <v>55</v>
      </c>
      <c r="G332" s="3">
        <f>COUNTIF(Table16[margin], Table16[[#This Row],[margin]])</f>
        <v>7</v>
      </c>
      <c r="H332" s="5" t="s">
        <v>15</v>
      </c>
      <c r="I332" s="6">
        <v>7</v>
      </c>
      <c r="R332" s="3">
        <v>55</v>
      </c>
      <c r="S332" s="5" t="s">
        <v>15</v>
      </c>
    </row>
    <row r="333" spans="6:19">
      <c r="F333" s="3">
        <f>_xlfn.RANK.AVG(Table16[[#This Row],[margin]], Table16[margin], 1)</f>
        <v>55</v>
      </c>
      <c r="G333" s="3">
        <f>COUNTIF(Table16[margin], Table16[[#This Row],[margin]])</f>
        <v>7</v>
      </c>
      <c r="H333" s="5" t="s">
        <v>15</v>
      </c>
      <c r="I333" s="6">
        <v>7</v>
      </c>
      <c r="R333" s="3">
        <v>55</v>
      </c>
      <c r="S333" s="5" t="s">
        <v>15</v>
      </c>
    </row>
    <row r="334" spans="6:19">
      <c r="F334" s="3">
        <f>_xlfn.RANK.AVG(Table16[[#This Row],[margin]], Table16[margin], 1)</f>
        <v>59</v>
      </c>
      <c r="G334" s="3">
        <f>COUNTIF(Table16[margin], Table16[[#This Row],[margin]])</f>
        <v>1</v>
      </c>
      <c r="H334" s="5" t="s">
        <v>19</v>
      </c>
      <c r="I334" s="6">
        <v>8</v>
      </c>
      <c r="R334" s="3">
        <v>59</v>
      </c>
      <c r="S334" s="5" t="s">
        <v>19</v>
      </c>
    </row>
    <row r="335" spans="6:19">
      <c r="F335" s="3">
        <f>_xlfn.RANK.AVG(Table16[[#This Row],[margin]], Table16[margin], 1)</f>
        <v>60</v>
      </c>
      <c r="G335" s="3">
        <f>COUNTIF(Table16[margin], Table16[[#This Row],[margin]])</f>
        <v>1</v>
      </c>
      <c r="H335" s="5" t="s">
        <v>15</v>
      </c>
      <c r="I335" s="6">
        <v>9</v>
      </c>
      <c r="R335" s="3">
        <v>60</v>
      </c>
      <c r="S335" s="5" t="s">
        <v>15</v>
      </c>
    </row>
    <row r="336" spans="6:19">
      <c r="F336" s="3">
        <f>_xlfn.RANK.AVG(Table16[[#This Row],[margin]], Table16[margin], 1)</f>
        <v>61.5</v>
      </c>
      <c r="G336" s="3">
        <f>COUNTIF(Table16[margin], Table16[[#This Row],[margin]])</f>
        <v>2</v>
      </c>
      <c r="H336" s="5" t="s">
        <v>19</v>
      </c>
      <c r="I336" s="6">
        <v>10</v>
      </c>
      <c r="R336" s="3">
        <v>61.5</v>
      </c>
      <c r="S336" s="5" t="s">
        <v>19</v>
      </c>
    </row>
    <row r="337" spans="6:19">
      <c r="F337" s="3">
        <f>_xlfn.RANK.AVG(Table16[[#This Row],[margin]], Table16[margin], 1)</f>
        <v>61.5</v>
      </c>
      <c r="G337" s="3">
        <f>COUNTIF(Table16[margin], Table16[[#This Row],[margin]])</f>
        <v>2</v>
      </c>
      <c r="H337" s="5" t="s">
        <v>19</v>
      </c>
      <c r="I337" s="6">
        <v>10</v>
      </c>
      <c r="R337" s="3">
        <v>61.5</v>
      </c>
      <c r="S337" s="5" t="s">
        <v>19</v>
      </c>
    </row>
    <row r="338" spans="6:19">
      <c r="F338" s="3">
        <f>_xlfn.RANK.AVG(Table16[[#This Row],[margin]], Table16[margin], 1)</f>
        <v>64</v>
      </c>
      <c r="G338" s="3">
        <f>COUNTIF(Table16[margin], Table16[[#This Row],[margin]])</f>
        <v>3</v>
      </c>
      <c r="H338" s="5" t="s">
        <v>19</v>
      </c>
      <c r="I338" s="6">
        <v>11</v>
      </c>
      <c r="R338" s="3">
        <v>64</v>
      </c>
      <c r="S338" s="5" t="s">
        <v>19</v>
      </c>
    </row>
    <row r="339" spans="6:19">
      <c r="F339" s="3">
        <f>_xlfn.RANK.AVG(Table16[[#This Row],[margin]], Table16[margin], 1)</f>
        <v>64</v>
      </c>
      <c r="G339" s="3">
        <f>COUNTIF(Table16[margin], Table16[[#This Row],[margin]])</f>
        <v>3</v>
      </c>
      <c r="H339" s="5" t="s">
        <v>15</v>
      </c>
      <c r="I339" s="6">
        <v>11</v>
      </c>
      <c r="R339" s="3">
        <v>64</v>
      </c>
      <c r="S339" s="5" t="s">
        <v>15</v>
      </c>
    </row>
    <row r="340" spans="6:19">
      <c r="F340" s="3">
        <f>_xlfn.RANK.AVG(Table16[[#This Row],[margin]], Table16[margin], 1)</f>
        <v>64</v>
      </c>
      <c r="G340" s="3">
        <f>COUNTIF(Table16[margin], Table16[[#This Row],[margin]])</f>
        <v>3</v>
      </c>
      <c r="H340" s="5" t="s">
        <v>15</v>
      </c>
      <c r="I340" s="6">
        <v>11</v>
      </c>
      <c r="R340" s="3">
        <v>64</v>
      </c>
      <c r="S340" s="5" t="s">
        <v>15</v>
      </c>
    </row>
    <row r="341" spans="6:19">
      <c r="F341" s="3">
        <f>_xlfn.RANK.AVG(Table16[[#This Row],[margin]], Table16[margin], 1)</f>
        <v>67</v>
      </c>
      <c r="G341" s="3">
        <f>COUNTIF(Table16[margin], Table16[[#This Row],[margin]])</f>
        <v>3</v>
      </c>
      <c r="H341" s="5" t="s">
        <v>19</v>
      </c>
      <c r="I341" s="6">
        <v>13</v>
      </c>
      <c r="R341" s="3">
        <v>67</v>
      </c>
      <c r="S341" s="5" t="s">
        <v>19</v>
      </c>
    </row>
    <row r="342" spans="6:19">
      <c r="F342" s="3">
        <f>_xlfn.RANK.AVG(Table16[[#This Row],[margin]], Table16[margin], 1)</f>
        <v>67</v>
      </c>
      <c r="G342" s="3">
        <f>COUNTIF(Table16[margin], Table16[[#This Row],[margin]])</f>
        <v>3</v>
      </c>
      <c r="H342" s="5" t="s">
        <v>15</v>
      </c>
      <c r="I342" s="6">
        <v>13</v>
      </c>
      <c r="R342" s="3">
        <v>67</v>
      </c>
      <c r="S342" s="5" t="s">
        <v>15</v>
      </c>
    </row>
    <row r="343" spans="6:19">
      <c r="F343" s="3">
        <f>_xlfn.RANK.AVG(Table16[[#This Row],[margin]], Table16[margin], 1)</f>
        <v>67</v>
      </c>
      <c r="G343" s="3">
        <f>COUNTIF(Table16[margin], Table16[[#This Row],[margin]])</f>
        <v>3</v>
      </c>
      <c r="H343" s="5" t="s">
        <v>15</v>
      </c>
      <c r="I343" s="6">
        <v>13</v>
      </c>
      <c r="R343" s="3">
        <v>67</v>
      </c>
      <c r="S343" s="5" t="s">
        <v>15</v>
      </c>
    </row>
    <row r="344" spans="6:19">
      <c r="F344" s="3">
        <f>_xlfn.RANK.AVG(Table16[[#This Row],[margin]], Table16[margin], 1)</f>
        <v>74</v>
      </c>
      <c r="G344" s="3">
        <f>COUNTIF(Table16[margin], Table16[[#This Row],[margin]])</f>
        <v>11</v>
      </c>
      <c r="H344" s="5" t="s">
        <v>19</v>
      </c>
      <c r="I344" s="6">
        <v>14</v>
      </c>
      <c r="R344" s="3">
        <v>74</v>
      </c>
      <c r="S344" s="5" t="s">
        <v>19</v>
      </c>
    </row>
    <row r="345" spans="6:19">
      <c r="F345" s="3">
        <f>_xlfn.RANK.AVG(Table16[[#This Row],[margin]], Table16[margin], 1)</f>
        <v>74</v>
      </c>
      <c r="G345" s="3">
        <f>COUNTIF(Table16[margin], Table16[[#This Row],[margin]])</f>
        <v>11</v>
      </c>
      <c r="H345" s="5" t="s">
        <v>19</v>
      </c>
      <c r="I345" s="6">
        <v>14</v>
      </c>
      <c r="R345" s="3">
        <v>74</v>
      </c>
      <c r="S345" s="5" t="s">
        <v>19</v>
      </c>
    </row>
    <row r="346" spans="6:19">
      <c r="F346" s="3">
        <f>_xlfn.RANK.AVG(Table16[[#This Row],[margin]], Table16[margin], 1)</f>
        <v>74</v>
      </c>
      <c r="G346" s="3">
        <f>COUNTIF(Table16[margin], Table16[[#This Row],[margin]])</f>
        <v>11</v>
      </c>
      <c r="H346" s="5" t="s">
        <v>19</v>
      </c>
      <c r="I346" s="6">
        <v>14</v>
      </c>
      <c r="R346" s="3">
        <v>74</v>
      </c>
      <c r="S346" s="5" t="s">
        <v>19</v>
      </c>
    </row>
    <row r="347" spans="6:19">
      <c r="F347" s="3">
        <f>_xlfn.RANK.AVG(Table16[[#This Row],[margin]], Table16[margin], 1)</f>
        <v>74</v>
      </c>
      <c r="G347" s="3">
        <f>COUNTIF(Table16[margin], Table16[[#This Row],[margin]])</f>
        <v>11</v>
      </c>
      <c r="H347" s="5" t="s">
        <v>15</v>
      </c>
      <c r="I347" s="6">
        <v>14</v>
      </c>
      <c r="R347" s="3">
        <v>74</v>
      </c>
      <c r="S347" s="5" t="s">
        <v>15</v>
      </c>
    </row>
    <row r="348" spans="6:19">
      <c r="F348" s="3">
        <f>_xlfn.RANK.AVG(Table16[[#This Row],[margin]], Table16[margin], 1)</f>
        <v>74</v>
      </c>
      <c r="G348" s="3">
        <f>COUNTIF(Table16[margin], Table16[[#This Row],[margin]])</f>
        <v>11</v>
      </c>
      <c r="H348" s="5" t="s">
        <v>15</v>
      </c>
      <c r="I348" s="6">
        <v>14</v>
      </c>
      <c r="R348" s="3">
        <v>74</v>
      </c>
      <c r="S348" s="5" t="s">
        <v>15</v>
      </c>
    </row>
    <row r="349" spans="6:19">
      <c r="F349" s="3">
        <f>_xlfn.RANK.AVG(Table16[[#This Row],[margin]], Table16[margin], 1)</f>
        <v>74</v>
      </c>
      <c r="G349" s="3">
        <f>COUNTIF(Table16[margin], Table16[[#This Row],[margin]])</f>
        <v>11</v>
      </c>
      <c r="H349" s="5" t="s">
        <v>15</v>
      </c>
      <c r="I349" s="6">
        <v>14</v>
      </c>
      <c r="R349" s="3">
        <v>74</v>
      </c>
      <c r="S349" s="5" t="s">
        <v>15</v>
      </c>
    </row>
    <row r="350" spans="6:19">
      <c r="F350" s="3">
        <f>_xlfn.RANK.AVG(Table16[[#This Row],[margin]], Table16[margin], 1)</f>
        <v>74</v>
      </c>
      <c r="G350" s="3">
        <f>COUNTIF(Table16[margin], Table16[[#This Row],[margin]])</f>
        <v>11</v>
      </c>
      <c r="H350" s="5" t="s">
        <v>15</v>
      </c>
      <c r="I350" s="6">
        <v>14</v>
      </c>
      <c r="R350" s="3">
        <v>74</v>
      </c>
      <c r="S350" s="5" t="s">
        <v>15</v>
      </c>
    </row>
    <row r="351" spans="6:19">
      <c r="F351" s="3">
        <f>_xlfn.RANK.AVG(Table16[[#This Row],[margin]], Table16[margin], 1)</f>
        <v>74</v>
      </c>
      <c r="G351" s="3">
        <f>COUNTIF(Table16[margin], Table16[[#This Row],[margin]])</f>
        <v>11</v>
      </c>
      <c r="H351" s="5" t="s">
        <v>15</v>
      </c>
      <c r="I351" s="6">
        <v>14</v>
      </c>
      <c r="R351" s="3">
        <v>74</v>
      </c>
      <c r="S351" s="5" t="s">
        <v>15</v>
      </c>
    </row>
    <row r="352" spans="6:19">
      <c r="F352" s="3">
        <f>_xlfn.RANK.AVG(Table16[[#This Row],[margin]], Table16[margin], 1)</f>
        <v>74</v>
      </c>
      <c r="G352" s="3">
        <f>COUNTIF(Table16[margin], Table16[[#This Row],[margin]])</f>
        <v>11</v>
      </c>
      <c r="H352" s="5" t="s">
        <v>15</v>
      </c>
      <c r="I352" s="6">
        <v>14</v>
      </c>
      <c r="R352" s="3">
        <v>74</v>
      </c>
      <c r="S352" s="5" t="s">
        <v>15</v>
      </c>
    </row>
    <row r="353" spans="6:19">
      <c r="F353" s="3">
        <f>_xlfn.RANK.AVG(Table16[[#This Row],[margin]], Table16[margin], 1)</f>
        <v>74</v>
      </c>
      <c r="G353" s="3">
        <f>COUNTIF(Table16[margin], Table16[[#This Row],[margin]])</f>
        <v>11</v>
      </c>
      <c r="H353" s="5" t="s">
        <v>15</v>
      </c>
      <c r="I353" s="6">
        <v>14</v>
      </c>
      <c r="R353" s="3">
        <v>74</v>
      </c>
      <c r="S353" s="5" t="s">
        <v>15</v>
      </c>
    </row>
    <row r="354" spans="6:19">
      <c r="F354" s="3">
        <f>_xlfn.RANK.AVG(Table16[[#This Row],[margin]], Table16[margin], 1)</f>
        <v>74</v>
      </c>
      <c r="G354" s="3">
        <f>COUNTIF(Table16[margin], Table16[[#This Row],[margin]])</f>
        <v>11</v>
      </c>
      <c r="H354" s="5" t="s">
        <v>15</v>
      </c>
      <c r="I354" s="6">
        <v>14</v>
      </c>
      <c r="R354" s="3">
        <v>74</v>
      </c>
      <c r="S354" s="5" t="s">
        <v>15</v>
      </c>
    </row>
    <row r="355" spans="6:19">
      <c r="F355" s="3">
        <f>_xlfn.RANK.AVG(Table16[[#This Row],[margin]], Table16[margin], 1)</f>
        <v>80</v>
      </c>
      <c r="G355" s="3">
        <f>COUNTIF(Table16[margin], Table16[[#This Row],[margin]])</f>
        <v>1</v>
      </c>
      <c r="H355" s="5" t="s">
        <v>19</v>
      </c>
      <c r="I355" s="6">
        <v>15</v>
      </c>
      <c r="R355" s="3">
        <v>80</v>
      </c>
      <c r="S355" s="5" t="s">
        <v>19</v>
      </c>
    </row>
    <row r="356" spans="6:19">
      <c r="F356" s="3">
        <f>_xlfn.RANK.AVG(Table16[[#This Row],[margin]], Table16[margin], 1)</f>
        <v>82</v>
      </c>
      <c r="G356" s="3">
        <f>COUNTIF(Table16[margin], Table16[[#This Row],[margin]])</f>
        <v>3</v>
      </c>
      <c r="H356" s="5" t="s">
        <v>19</v>
      </c>
      <c r="I356" s="6">
        <v>16</v>
      </c>
      <c r="R356" s="3">
        <v>82</v>
      </c>
      <c r="S356" s="5" t="s">
        <v>19</v>
      </c>
    </row>
    <row r="357" spans="6:19">
      <c r="F357" s="3">
        <f>_xlfn.RANK.AVG(Table16[[#This Row],[margin]], Table16[margin], 1)</f>
        <v>82</v>
      </c>
      <c r="G357" s="3">
        <f>COUNTIF(Table16[margin], Table16[[#This Row],[margin]])</f>
        <v>3</v>
      </c>
      <c r="H357" s="5" t="s">
        <v>19</v>
      </c>
      <c r="I357" s="6">
        <v>16</v>
      </c>
      <c r="R357" s="3">
        <v>82</v>
      </c>
      <c r="S357" s="5" t="s">
        <v>19</v>
      </c>
    </row>
    <row r="358" spans="6:19">
      <c r="F358" s="3">
        <f>_xlfn.RANK.AVG(Table16[[#This Row],[margin]], Table16[margin], 1)</f>
        <v>82</v>
      </c>
      <c r="G358" s="3">
        <f>COUNTIF(Table16[margin], Table16[[#This Row],[margin]])</f>
        <v>3</v>
      </c>
      <c r="H358" s="5" t="s">
        <v>15</v>
      </c>
      <c r="I358" s="6">
        <v>16</v>
      </c>
      <c r="R358" s="3">
        <v>82</v>
      </c>
      <c r="S358" s="5" t="s">
        <v>15</v>
      </c>
    </row>
    <row r="359" spans="6:19">
      <c r="F359" s="3">
        <f>_xlfn.RANK.AVG(Table16[[#This Row],[margin]], Table16[margin], 1)</f>
        <v>85</v>
      </c>
      <c r="G359" s="3">
        <f>COUNTIF(Table16[margin], Table16[[#This Row],[margin]])</f>
        <v>3</v>
      </c>
      <c r="H359" s="5" t="s">
        <v>19</v>
      </c>
      <c r="I359" s="6">
        <v>17</v>
      </c>
      <c r="R359" s="3">
        <v>85</v>
      </c>
      <c r="S359" s="5" t="s">
        <v>19</v>
      </c>
    </row>
    <row r="360" spans="6:19">
      <c r="F360" s="3">
        <f>_xlfn.RANK.AVG(Table16[[#This Row],[margin]], Table16[margin], 1)</f>
        <v>85</v>
      </c>
      <c r="G360" s="3">
        <f>COUNTIF(Table16[margin], Table16[[#This Row],[margin]])</f>
        <v>3</v>
      </c>
      <c r="H360" s="5" t="s">
        <v>15</v>
      </c>
      <c r="I360" s="6">
        <v>17</v>
      </c>
      <c r="R360" s="3">
        <v>85</v>
      </c>
      <c r="S360" s="5" t="s">
        <v>15</v>
      </c>
    </row>
    <row r="361" spans="6:19">
      <c r="F361" s="3">
        <f>_xlfn.RANK.AVG(Table16[[#This Row],[margin]], Table16[margin], 1)</f>
        <v>85</v>
      </c>
      <c r="G361" s="3">
        <f>COUNTIF(Table16[margin], Table16[[#This Row],[margin]])</f>
        <v>3</v>
      </c>
      <c r="H361" s="5" t="s">
        <v>15</v>
      </c>
      <c r="I361" s="6">
        <v>17</v>
      </c>
      <c r="R361" s="3">
        <v>85</v>
      </c>
      <c r="S361" s="5" t="s">
        <v>15</v>
      </c>
    </row>
    <row r="362" spans="6:19">
      <c r="F362" s="3">
        <f>_xlfn.RANK.AVG(Table16[[#This Row],[margin]], Table16[margin], 1)</f>
        <v>88.5</v>
      </c>
      <c r="G362" s="3">
        <f>COUNTIF(Table16[margin], Table16[[#This Row],[margin]])</f>
        <v>4</v>
      </c>
      <c r="H362" s="5" t="s">
        <v>19</v>
      </c>
      <c r="I362" s="6">
        <v>18</v>
      </c>
      <c r="R362" s="3">
        <v>88.5</v>
      </c>
      <c r="S362" s="5" t="s">
        <v>19</v>
      </c>
    </row>
    <row r="363" spans="6:19">
      <c r="F363" s="3">
        <f>_xlfn.RANK.AVG(Table16[[#This Row],[margin]], Table16[margin], 1)</f>
        <v>88.5</v>
      </c>
      <c r="G363" s="3">
        <f>COUNTIF(Table16[margin], Table16[[#This Row],[margin]])</f>
        <v>4</v>
      </c>
      <c r="H363" s="5" t="s">
        <v>19</v>
      </c>
      <c r="I363" s="6">
        <v>18</v>
      </c>
      <c r="R363" s="3">
        <v>88.5</v>
      </c>
      <c r="S363" s="5" t="s">
        <v>19</v>
      </c>
    </row>
    <row r="364" spans="6:19">
      <c r="F364" s="3">
        <f>_xlfn.RANK.AVG(Table16[[#This Row],[margin]], Table16[margin], 1)</f>
        <v>88.5</v>
      </c>
      <c r="G364" s="3">
        <f>COUNTIF(Table16[margin], Table16[[#This Row],[margin]])</f>
        <v>4</v>
      </c>
      <c r="H364" s="5" t="s">
        <v>15</v>
      </c>
      <c r="I364" s="6">
        <v>18</v>
      </c>
      <c r="R364" s="3">
        <v>88.5</v>
      </c>
      <c r="S364" s="5" t="s">
        <v>15</v>
      </c>
    </row>
    <row r="365" spans="6:19">
      <c r="F365" s="3">
        <f>_xlfn.RANK.AVG(Table16[[#This Row],[margin]], Table16[margin], 1)</f>
        <v>88.5</v>
      </c>
      <c r="G365" s="3">
        <f>COUNTIF(Table16[margin], Table16[[#This Row],[margin]])</f>
        <v>4</v>
      </c>
      <c r="H365" s="5" t="s">
        <v>15</v>
      </c>
      <c r="I365" s="6">
        <v>18</v>
      </c>
      <c r="R365" s="3">
        <v>88.5</v>
      </c>
      <c r="S365" s="5" t="s">
        <v>15</v>
      </c>
    </row>
    <row r="366" spans="6:19">
      <c r="F366" s="3">
        <f>_xlfn.RANK.AVG(Table16[[#This Row],[margin]], Table16[margin], 1)</f>
        <v>93.5</v>
      </c>
      <c r="G366" s="3">
        <f>COUNTIF(Table16[margin], Table16[[#This Row],[margin]])</f>
        <v>6</v>
      </c>
      <c r="H366" s="5" t="s">
        <v>19</v>
      </c>
      <c r="I366" s="6">
        <v>19</v>
      </c>
      <c r="R366" s="3">
        <v>93.5</v>
      </c>
      <c r="S366" s="5" t="s">
        <v>19</v>
      </c>
    </row>
    <row r="367" spans="6:19">
      <c r="F367" s="3">
        <f>_xlfn.RANK.AVG(Table16[[#This Row],[margin]], Table16[margin], 1)</f>
        <v>93.5</v>
      </c>
      <c r="G367" s="3">
        <f>COUNTIF(Table16[margin], Table16[[#This Row],[margin]])</f>
        <v>6</v>
      </c>
      <c r="H367" s="5" t="s">
        <v>19</v>
      </c>
      <c r="I367" s="6">
        <v>19</v>
      </c>
      <c r="R367" s="3">
        <v>93.5</v>
      </c>
      <c r="S367" s="5" t="s">
        <v>19</v>
      </c>
    </row>
    <row r="368" spans="6:19">
      <c r="F368" s="3">
        <f>_xlfn.RANK.AVG(Table16[[#This Row],[margin]], Table16[margin], 1)</f>
        <v>93.5</v>
      </c>
      <c r="G368" s="3">
        <f>COUNTIF(Table16[margin], Table16[[#This Row],[margin]])</f>
        <v>6</v>
      </c>
      <c r="H368" s="5" t="s">
        <v>19</v>
      </c>
      <c r="I368" s="6">
        <v>19</v>
      </c>
      <c r="R368" s="3">
        <v>93.5</v>
      </c>
      <c r="S368" s="5" t="s">
        <v>19</v>
      </c>
    </row>
    <row r="369" spans="6:19">
      <c r="F369" s="3">
        <f>_xlfn.RANK.AVG(Table16[[#This Row],[margin]], Table16[margin], 1)</f>
        <v>93.5</v>
      </c>
      <c r="G369" s="3">
        <f>COUNTIF(Table16[margin], Table16[[#This Row],[margin]])</f>
        <v>6</v>
      </c>
      <c r="H369" s="5" t="s">
        <v>19</v>
      </c>
      <c r="I369" s="6">
        <v>19</v>
      </c>
      <c r="R369" s="3">
        <v>93.5</v>
      </c>
      <c r="S369" s="5" t="s">
        <v>19</v>
      </c>
    </row>
    <row r="370" spans="6:19">
      <c r="F370" s="3">
        <f>_xlfn.RANK.AVG(Table16[[#This Row],[margin]], Table16[margin], 1)</f>
        <v>93.5</v>
      </c>
      <c r="G370" s="3">
        <f>COUNTIF(Table16[margin], Table16[[#This Row],[margin]])</f>
        <v>6</v>
      </c>
      <c r="H370" s="5" t="s">
        <v>15</v>
      </c>
      <c r="I370" s="6">
        <v>19</v>
      </c>
      <c r="R370" s="3">
        <v>93.5</v>
      </c>
      <c r="S370" s="5" t="s">
        <v>15</v>
      </c>
    </row>
    <row r="371" spans="6:19">
      <c r="F371" s="3">
        <f>_xlfn.RANK.AVG(Table16[[#This Row],[margin]], Table16[margin], 1)</f>
        <v>93.5</v>
      </c>
      <c r="G371" s="3">
        <f>COUNTIF(Table16[margin], Table16[[#This Row],[margin]])</f>
        <v>6</v>
      </c>
      <c r="H371" s="5" t="s">
        <v>15</v>
      </c>
      <c r="I371" s="6">
        <v>19</v>
      </c>
      <c r="R371" s="3">
        <v>93.5</v>
      </c>
      <c r="S371" s="5" t="s">
        <v>15</v>
      </c>
    </row>
    <row r="372" spans="6:19">
      <c r="F372" s="3">
        <f>_xlfn.RANK.AVG(Table16[[#This Row],[margin]], Table16[margin], 1)</f>
        <v>97.5</v>
      </c>
      <c r="G372" s="3">
        <f>COUNTIF(Table16[margin], Table16[[#This Row],[margin]])</f>
        <v>2</v>
      </c>
      <c r="H372" s="5" t="s">
        <v>19</v>
      </c>
      <c r="I372" s="6">
        <v>20</v>
      </c>
      <c r="R372" s="3">
        <v>97.5</v>
      </c>
      <c r="S372" s="5" t="s">
        <v>19</v>
      </c>
    </row>
    <row r="373" spans="6:19">
      <c r="F373" s="3">
        <f>_xlfn.RANK.AVG(Table16[[#This Row],[margin]], Table16[margin], 1)</f>
        <v>97.5</v>
      </c>
      <c r="G373" s="3">
        <f>COUNTIF(Table16[margin], Table16[[#This Row],[margin]])</f>
        <v>2</v>
      </c>
      <c r="H373" s="5" t="s">
        <v>15</v>
      </c>
      <c r="I373" s="6">
        <v>20</v>
      </c>
      <c r="R373" s="3">
        <v>97.5</v>
      </c>
      <c r="S373" s="5" t="s">
        <v>15</v>
      </c>
    </row>
    <row r="374" spans="6:19">
      <c r="F374" s="3">
        <f>_xlfn.RANK.AVG(Table16[[#This Row],[margin]], Table16[margin], 1)</f>
        <v>100.5</v>
      </c>
      <c r="G374" s="3">
        <f>COUNTIF(Table16[margin], Table16[[#This Row],[margin]])</f>
        <v>4</v>
      </c>
      <c r="H374" s="5" t="s">
        <v>15</v>
      </c>
      <c r="I374" s="6">
        <v>21</v>
      </c>
      <c r="R374" s="3">
        <v>100.5</v>
      </c>
      <c r="S374" s="5" t="s">
        <v>15</v>
      </c>
    </row>
    <row r="375" spans="6:19">
      <c r="F375" s="3">
        <f>_xlfn.RANK.AVG(Table16[[#This Row],[margin]], Table16[margin], 1)</f>
        <v>100.5</v>
      </c>
      <c r="G375" s="3">
        <f>COUNTIF(Table16[margin], Table16[[#This Row],[margin]])</f>
        <v>4</v>
      </c>
      <c r="H375" s="5" t="s">
        <v>15</v>
      </c>
      <c r="I375" s="6">
        <v>21</v>
      </c>
      <c r="R375" s="3">
        <v>100.5</v>
      </c>
      <c r="S375" s="5" t="s">
        <v>15</v>
      </c>
    </row>
    <row r="376" spans="6:19">
      <c r="F376" s="3">
        <f>_xlfn.RANK.AVG(Table16[[#This Row],[margin]], Table16[margin], 1)</f>
        <v>100.5</v>
      </c>
      <c r="G376" s="3">
        <f>COUNTIF(Table16[margin], Table16[[#This Row],[margin]])</f>
        <v>4</v>
      </c>
      <c r="H376" s="5" t="s">
        <v>15</v>
      </c>
      <c r="I376" s="6">
        <v>21</v>
      </c>
      <c r="R376" s="3">
        <v>100.5</v>
      </c>
      <c r="S376" s="5" t="s">
        <v>15</v>
      </c>
    </row>
    <row r="377" spans="6:19">
      <c r="F377" s="3">
        <f>_xlfn.RANK.AVG(Table16[[#This Row],[margin]], Table16[margin], 1)</f>
        <v>100.5</v>
      </c>
      <c r="G377" s="3">
        <f>COUNTIF(Table16[margin], Table16[[#This Row],[margin]])</f>
        <v>4</v>
      </c>
      <c r="H377" s="5" t="s">
        <v>15</v>
      </c>
      <c r="I377" s="6">
        <v>21</v>
      </c>
      <c r="R377" s="3">
        <v>100.5</v>
      </c>
      <c r="S377" s="5" t="s">
        <v>15</v>
      </c>
    </row>
    <row r="378" spans="6:19">
      <c r="F378" s="3">
        <f>_xlfn.RANK.AVG(Table16[[#This Row],[margin]], Table16[margin], 1)</f>
        <v>104</v>
      </c>
      <c r="G378" s="3">
        <f>COUNTIF(Table16[margin], Table16[[#This Row],[margin]])</f>
        <v>3</v>
      </c>
      <c r="H378" s="5" t="s">
        <v>15</v>
      </c>
      <c r="I378" s="6">
        <v>22</v>
      </c>
      <c r="R378" s="3">
        <v>104</v>
      </c>
      <c r="S378" s="5" t="s">
        <v>15</v>
      </c>
    </row>
    <row r="379" spans="6:19">
      <c r="F379" s="3">
        <f>_xlfn.RANK.AVG(Table16[[#This Row],[margin]], Table16[margin], 1)</f>
        <v>104</v>
      </c>
      <c r="G379" s="3">
        <f>COUNTIF(Table16[margin], Table16[[#This Row],[margin]])</f>
        <v>3</v>
      </c>
      <c r="H379" s="5" t="s">
        <v>15</v>
      </c>
      <c r="I379" s="6">
        <v>22</v>
      </c>
      <c r="R379" s="3">
        <v>104</v>
      </c>
      <c r="S379" s="5" t="s">
        <v>15</v>
      </c>
    </row>
    <row r="380" spans="6:19">
      <c r="F380" s="3">
        <f>_xlfn.RANK.AVG(Table16[[#This Row],[margin]], Table16[margin], 1)</f>
        <v>104</v>
      </c>
      <c r="G380" s="3">
        <f>COUNTIF(Table16[margin], Table16[[#This Row],[margin]])</f>
        <v>3</v>
      </c>
      <c r="H380" s="5" t="s">
        <v>15</v>
      </c>
      <c r="I380" s="6">
        <v>22</v>
      </c>
      <c r="R380" s="3">
        <v>104</v>
      </c>
      <c r="S380" s="5" t="s">
        <v>15</v>
      </c>
    </row>
    <row r="381" spans="6:19">
      <c r="F381" s="3">
        <f>_xlfn.RANK.AVG(Table16[[#This Row],[margin]], Table16[margin], 1)</f>
        <v>106.5</v>
      </c>
      <c r="G381" s="3">
        <f>COUNTIF(Table16[margin], Table16[[#This Row],[margin]])</f>
        <v>2</v>
      </c>
      <c r="H381" s="5" t="s">
        <v>19</v>
      </c>
      <c r="I381" s="6">
        <v>23</v>
      </c>
      <c r="R381" s="3">
        <v>106.5</v>
      </c>
      <c r="S381" s="5" t="s">
        <v>19</v>
      </c>
    </row>
    <row r="382" spans="6:19">
      <c r="F382" s="3">
        <f>_xlfn.RANK.AVG(Table16[[#This Row],[margin]], Table16[margin], 1)</f>
        <v>106.5</v>
      </c>
      <c r="G382" s="3">
        <f>COUNTIF(Table16[margin], Table16[[#This Row],[margin]])</f>
        <v>2</v>
      </c>
      <c r="H382" s="5" t="s">
        <v>19</v>
      </c>
      <c r="I382" s="6">
        <v>23</v>
      </c>
      <c r="R382" s="3">
        <v>106.5</v>
      </c>
      <c r="S382" s="5" t="s">
        <v>19</v>
      </c>
    </row>
    <row r="383" spans="6:19">
      <c r="F383" s="3">
        <f>_xlfn.RANK.AVG(Table16[[#This Row],[margin]], Table16[margin], 1)</f>
        <v>111</v>
      </c>
      <c r="G383" s="3">
        <f>COUNTIF(Table16[margin], Table16[[#This Row],[margin]])</f>
        <v>7</v>
      </c>
      <c r="H383" s="5" t="s">
        <v>19</v>
      </c>
      <c r="I383" s="6">
        <v>24</v>
      </c>
      <c r="R383" s="3">
        <v>111</v>
      </c>
      <c r="S383" s="5" t="s">
        <v>19</v>
      </c>
    </row>
    <row r="384" spans="6:19">
      <c r="F384" s="3">
        <f>_xlfn.RANK.AVG(Table16[[#This Row],[margin]], Table16[margin], 1)</f>
        <v>111</v>
      </c>
      <c r="G384" s="3">
        <f>COUNTIF(Table16[margin], Table16[[#This Row],[margin]])</f>
        <v>7</v>
      </c>
      <c r="H384" s="5" t="s">
        <v>15</v>
      </c>
      <c r="I384" s="6">
        <v>24</v>
      </c>
      <c r="R384" s="3">
        <v>111</v>
      </c>
      <c r="S384" s="5" t="s">
        <v>15</v>
      </c>
    </row>
    <row r="385" spans="6:19">
      <c r="F385" s="3">
        <f>_xlfn.RANK.AVG(Table16[[#This Row],[margin]], Table16[margin], 1)</f>
        <v>111</v>
      </c>
      <c r="G385" s="3">
        <f>COUNTIF(Table16[margin], Table16[[#This Row],[margin]])</f>
        <v>7</v>
      </c>
      <c r="H385" s="5" t="s">
        <v>15</v>
      </c>
      <c r="I385" s="6">
        <v>24</v>
      </c>
      <c r="R385" s="3">
        <v>111</v>
      </c>
      <c r="S385" s="5" t="s">
        <v>15</v>
      </c>
    </row>
    <row r="386" spans="6:19">
      <c r="F386" s="3">
        <f>_xlfn.RANK.AVG(Table16[[#This Row],[margin]], Table16[margin], 1)</f>
        <v>111</v>
      </c>
      <c r="G386" s="3">
        <f>COUNTIF(Table16[margin], Table16[[#This Row],[margin]])</f>
        <v>7</v>
      </c>
      <c r="H386" s="5" t="s">
        <v>15</v>
      </c>
      <c r="I386" s="6">
        <v>24</v>
      </c>
      <c r="R386" s="3">
        <v>111</v>
      </c>
      <c r="S386" s="5" t="s">
        <v>15</v>
      </c>
    </row>
    <row r="387" spans="6:19">
      <c r="F387" s="3">
        <f>_xlfn.RANK.AVG(Table16[[#This Row],[margin]], Table16[margin], 1)</f>
        <v>111</v>
      </c>
      <c r="G387" s="3">
        <f>COUNTIF(Table16[margin], Table16[[#This Row],[margin]])</f>
        <v>7</v>
      </c>
      <c r="H387" s="5" t="s">
        <v>15</v>
      </c>
      <c r="I387" s="6">
        <v>24</v>
      </c>
      <c r="R387" s="3">
        <v>111</v>
      </c>
      <c r="S387" s="5" t="s">
        <v>15</v>
      </c>
    </row>
    <row r="388" spans="6:19">
      <c r="F388" s="3">
        <f>_xlfn.RANK.AVG(Table16[[#This Row],[margin]], Table16[margin], 1)</f>
        <v>111</v>
      </c>
      <c r="G388" s="3">
        <f>COUNTIF(Table16[margin], Table16[[#This Row],[margin]])</f>
        <v>7</v>
      </c>
      <c r="H388" s="5" t="s">
        <v>15</v>
      </c>
      <c r="I388" s="6">
        <v>24</v>
      </c>
      <c r="R388" s="3">
        <v>111</v>
      </c>
      <c r="S388" s="5" t="s">
        <v>15</v>
      </c>
    </row>
    <row r="389" spans="6:19">
      <c r="F389" s="3">
        <f>_xlfn.RANK.AVG(Table16[[#This Row],[margin]], Table16[margin], 1)</f>
        <v>111</v>
      </c>
      <c r="G389" s="3">
        <f>COUNTIF(Table16[margin], Table16[[#This Row],[margin]])</f>
        <v>7</v>
      </c>
      <c r="H389" s="5" t="s">
        <v>15</v>
      </c>
      <c r="I389" s="6">
        <v>24</v>
      </c>
      <c r="R389" s="3">
        <v>111</v>
      </c>
      <c r="S389" s="5" t="s">
        <v>15</v>
      </c>
    </row>
    <row r="390" spans="6:19">
      <c r="F390" s="3">
        <f>_xlfn.RANK.AVG(Table16[[#This Row],[margin]], Table16[margin], 1)</f>
        <v>117</v>
      </c>
      <c r="G390" s="3">
        <f>COUNTIF(Table16[margin], Table16[[#This Row],[margin]])</f>
        <v>5</v>
      </c>
      <c r="H390" s="5" t="s">
        <v>19</v>
      </c>
      <c r="I390" s="6">
        <v>25</v>
      </c>
      <c r="R390" s="3">
        <v>117</v>
      </c>
      <c r="S390" s="5" t="s">
        <v>19</v>
      </c>
    </row>
    <row r="391" spans="6:19">
      <c r="F391" s="3">
        <f>_xlfn.RANK.AVG(Table16[[#This Row],[margin]], Table16[margin], 1)</f>
        <v>117</v>
      </c>
      <c r="G391" s="3">
        <f>COUNTIF(Table16[margin], Table16[[#This Row],[margin]])</f>
        <v>5</v>
      </c>
      <c r="H391" s="5" t="s">
        <v>15</v>
      </c>
      <c r="I391" s="6">
        <v>25</v>
      </c>
      <c r="R391" s="3">
        <v>117</v>
      </c>
      <c r="S391" s="5" t="s">
        <v>15</v>
      </c>
    </row>
    <row r="392" spans="6:19">
      <c r="F392" s="3">
        <f>_xlfn.RANK.AVG(Table16[[#This Row],[margin]], Table16[margin], 1)</f>
        <v>117</v>
      </c>
      <c r="G392" s="3">
        <f>COUNTIF(Table16[margin], Table16[[#This Row],[margin]])</f>
        <v>5</v>
      </c>
      <c r="H392" s="5" t="s">
        <v>15</v>
      </c>
      <c r="I392" s="6">
        <v>25</v>
      </c>
      <c r="R392" s="3">
        <v>117</v>
      </c>
      <c r="S392" s="5" t="s">
        <v>15</v>
      </c>
    </row>
    <row r="393" spans="6:19">
      <c r="F393" s="3">
        <f>_xlfn.RANK.AVG(Table16[[#This Row],[margin]], Table16[margin], 1)</f>
        <v>117</v>
      </c>
      <c r="G393" s="3">
        <f>COUNTIF(Table16[margin], Table16[[#This Row],[margin]])</f>
        <v>5</v>
      </c>
      <c r="H393" s="5" t="s">
        <v>15</v>
      </c>
      <c r="I393" s="6">
        <v>25</v>
      </c>
      <c r="R393" s="3">
        <v>117</v>
      </c>
      <c r="S393" s="5" t="s">
        <v>15</v>
      </c>
    </row>
    <row r="394" spans="6:19">
      <c r="F394" s="3">
        <f>_xlfn.RANK.AVG(Table16[[#This Row],[margin]], Table16[margin], 1)</f>
        <v>117</v>
      </c>
      <c r="G394" s="3">
        <f>COUNTIF(Table16[margin], Table16[[#This Row],[margin]])</f>
        <v>5</v>
      </c>
      <c r="H394" s="5" t="s">
        <v>15</v>
      </c>
      <c r="I394" s="6">
        <v>25</v>
      </c>
      <c r="R394" s="3">
        <v>117</v>
      </c>
      <c r="S394" s="5" t="s">
        <v>15</v>
      </c>
    </row>
    <row r="395" spans="6:19">
      <c r="F395" s="3">
        <f>_xlfn.RANK.AVG(Table16[[#This Row],[margin]], Table16[margin], 1)</f>
        <v>120.5</v>
      </c>
      <c r="G395" s="3">
        <f>COUNTIF(Table16[margin], Table16[[#This Row],[margin]])</f>
        <v>2</v>
      </c>
      <c r="H395" s="5" t="s">
        <v>15</v>
      </c>
      <c r="I395" s="6">
        <v>26</v>
      </c>
      <c r="R395" s="3">
        <v>120.5</v>
      </c>
      <c r="S395" s="5" t="s">
        <v>15</v>
      </c>
    </row>
    <row r="396" spans="6:19">
      <c r="F396" s="3">
        <f>_xlfn.RANK.AVG(Table16[[#This Row],[margin]], Table16[margin], 1)</f>
        <v>120.5</v>
      </c>
      <c r="G396" s="3">
        <f>COUNTIF(Table16[margin], Table16[[#This Row],[margin]])</f>
        <v>2</v>
      </c>
      <c r="H396" s="5" t="s">
        <v>15</v>
      </c>
      <c r="I396" s="6">
        <v>26</v>
      </c>
      <c r="R396" s="3">
        <v>120.5</v>
      </c>
      <c r="S396" s="5" t="s">
        <v>15</v>
      </c>
    </row>
    <row r="397" spans="6:19">
      <c r="F397" s="3">
        <f>_xlfn.RANK.AVG(Table16[[#This Row],[margin]], Table16[margin], 1)</f>
        <v>122</v>
      </c>
      <c r="G397" s="3">
        <f>COUNTIF(Table16[margin], Table16[[#This Row],[margin]])</f>
        <v>1</v>
      </c>
      <c r="H397" s="5" t="s">
        <v>15</v>
      </c>
      <c r="I397" s="6">
        <v>27</v>
      </c>
      <c r="R397" s="3">
        <v>122</v>
      </c>
      <c r="S397" s="5" t="s">
        <v>15</v>
      </c>
    </row>
    <row r="398" spans="6:19">
      <c r="F398" s="3">
        <f>_xlfn.RANK.AVG(Table16[[#This Row],[margin]], Table16[margin], 1)</f>
        <v>128.5</v>
      </c>
      <c r="G398" s="3">
        <f>COUNTIF(Table16[margin], Table16[[#This Row],[margin]])</f>
        <v>12</v>
      </c>
      <c r="H398" s="5" t="s">
        <v>19</v>
      </c>
      <c r="I398" s="6">
        <v>28</v>
      </c>
      <c r="R398" s="3">
        <v>128.5</v>
      </c>
      <c r="S398" s="5" t="s">
        <v>19</v>
      </c>
    </row>
    <row r="399" spans="6:19">
      <c r="F399" s="3">
        <f>_xlfn.RANK.AVG(Table16[[#This Row],[margin]], Table16[margin], 1)</f>
        <v>128.5</v>
      </c>
      <c r="G399" s="3">
        <f>COUNTIF(Table16[margin], Table16[[#This Row],[margin]])</f>
        <v>12</v>
      </c>
      <c r="H399" s="5" t="s">
        <v>19</v>
      </c>
      <c r="I399" s="6">
        <v>28</v>
      </c>
      <c r="R399" s="3">
        <v>128.5</v>
      </c>
      <c r="S399" s="5" t="s">
        <v>19</v>
      </c>
    </row>
    <row r="400" spans="6:19">
      <c r="F400" s="3">
        <f>_xlfn.RANK.AVG(Table16[[#This Row],[margin]], Table16[margin], 1)</f>
        <v>128.5</v>
      </c>
      <c r="G400" s="3">
        <f>COUNTIF(Table16[margin], Table16[[#This Row],[margin]])</f>
        <v>12</v>
      </c>
      <c r="H400" s="5" t="s">
        <v>19</v>
      </c>
      <c r="I400" s="6">
        <v>28</v>
      </c>
      <c r="R400" s="3">
        <v>128.5</v>
      </c>
      <c r="S400" s="5" t="s">
        <v>19</v>
      </c>
    </row>
    <row r="401" spans="6:19">
      <c r="F401" s="3">
        <f>_xlfn.RANK.AVG(Table16[[#This Row],[margin]], Table16[margin], 1)</f>
        <v>128.5</v>
      </c>
      <c r="G401" s="3">
        <f>COUNTIF(Table16[margin], Table16[[#This Row],[margin]])</f>
        <v>12</v>
      </c>
      <c r="H401" s="5" t="s">
        <v>19</v>
      </c>
      <c r="I401" s="6">
        <v>28</v>
      </c>
      <c r="R401" s="3">
        <v>128.5</v>
      </c>
      <c r="S401" s="5" t="s">
        <v>19</v>
      </c>
    </row>
    <row r="402" spans="6:19">
      <c r="F402" s="3">
        <f>_xlfn.RANK.AVG(Table16[[#This Row],[margin]], Table16[margin], 1)</f>
        <v>128.5</v>
      </c>
      <c r="G402" s="3">
        <f>COUNTIF(Table16[margin], Table16[[#This Row],[margin]])</f>
        <v>12</v>
      </c>
      <c r="H402" s="5" t="s">
        <v>19</v>
      </c>
      <c r="I402" s="6">
        <v>28</v>
      </c>
      <c r="R402" s="3">
        <v>128.5</v>
      </c>
      <c r="S402" s="5" t="s">
        <v>19</v>
      </c>
    </row>
    <row r="403" spans="6:19">
      <c r="F403" s="3">
        <f>_xlfn.RANK.AVG(Table16[[#This Row],[margin]], Table16[margin], 1)</f>
        <v>128.5</v>
      </c>
      <c r="G403" s="3">
        <f>COUNTIF(Table16[margin], Table16[[#This Row],[margin]])</f>
        <v>12</v>
      </c>
      <c r="H403" s="5" t="s">
        <v>15</v>
      </c>
      <c r="I403" s="6">
        <v>28</v>
      </c>
      <c r="R403" s="3">
        <v>128.5</v>
      </c>
      <c r="S403" s="5" t="s">
        <v>15</v>
      </c>
    </row>
    <row r="404" spans="6:19">
      <c r="F404" s="3">
        <f>_xlfn.RANK.AVG(Table16[[#This Row],[margin]], Table16[margin], 1)</f>
        <v>128.5</v>
      </c>
      <c r="G404" s="3">
        <f>COUNTIF(Table16[margin], Table16[[#This Row],[margin]])</f>
        <v>12</v>
      </c>
      <c r="H404" s="5" t="s">
        <v>15</v>
      </c>
      <c r="I404" s="6">
        <v>28</v>
      </c>
      <c r="R404" s="3">
        <v>128.5</v>
      </c>
      <c r="S404" s="5" t="s">
        <v>15</v>
      </c>
    </row>
    <row r="405" spans="6:19">
      <c r="F405" s="3">
        <f>_xlfn.RANK.AVG(Table16[[#This Row],[margin]], Table16[margin], 1)</f>
        <v>128.5</v>
      </c>
      <c r="G405" s="3">
        <f>COUNTIF(Table16[margin], Table16[[#This Row],[margin]])</f>
        <v>12</v>
      </c>
      <c r="H405" s="5" t="s">
        <v>15</v>
      </c>
      <c r="I405" s="6">
        <v>28</v>
      </c>
      <c r="R405" s="3">
        <v>128.5</v>
      </c>
      <c r="S405" s="5" t="s">
        <v>15</v>
      </c>
    </row>
    <row r="406" spans="6:19">
      <c r="F406" s="3">
        <f>_xlfn.RANK.AVG(Table16[[#This Row],[margin]], Table16[margin], 1)</f>
        <v>128.5</v>
      </c>
      <c r="G406" s="3">
        <f>COUNTIF(Table16[margin], Table16[[#This Row],[margin]])</f>
        <v>12</v>
      </c>
      <c r="H406" s="5" t="s">
        <v>15</v>
      </c>
      <c r="I406" s="6">
        <v>28</v>
      </c>
      <c r="R406" s="3">
        <v>128.5</v>
      </c>
      <c r="S406" s="5" t="s">
        <v>15</v>
      </c>
    </row>
    <row r="407" spans="6:19">
      <c r="F407" s="3">
        <f>_xlfn.RANK.AVG(Table16[[#This Row],[margin]], Table16[margin], 1)</f>
        <v>128.5</v>
      </c>
      <c r="G407" s="3">
        <f>COUNTIF(Table16[margin], Table16[[#This Row],[margin]])</f>
        <v>12</v>
      </c>
      <c r="H407" s="5" t="s">
        <v>15</v>
      </c>
      <c r="I407" s="6">
        <v>28</v>
      </c>
      <c r="R407" s="3">
        <v>128.5</v>
      </c>
      <c r="S407" s="5" t="s">
        <v>15</v>
      </c>
    </row>
    <row r="408" spans="6:19">
      <c r="F408" s="3">
        <f>_xlfn.RANK.AVG(Table16[[#This Row],[margin]], Table16[margin], 1)</f>
        <v>128.5</v>
      </c>
      <c r="G408" s="3">
        <f>COUNTIF(Table16[margin], Table16[[#This Row],[margin]])</f>
        <v>12</v>
      </c>
      <c r="H408" s="5" t="s">
        <v>15</v>
      </c>
      <c r="I408" s="6">
        <v>28</v>
      </c>
      <c r="R408" s="3">
        <v>128.5</v>
      </c>
      <c r="S408" s="5" t="s">
        <v>15</v>
      </c>
    </row>
    <row r="409" spans="6:19">
      <c r="F409" s="3">
        <f>_xlfn.RANK.AVG(Table16[[#This Row],[margin]], Table16[margin], 1)</f>
        <v>128.5</v>
      </c>
      <c r="G409" s="3">
        <f>COUNTIF(Table16[margin], Table16[[#This Row],[margin]])</f>
        <v>12</v>
      </c>
      <c r="H409" s="5" t="s">
        <v>15</v>
      </c>
      <c r="I409" s="6">
        <v>28</v>
      </c>
      <c r="R409" s="3">
        <v>128.5</v>
      </c>
      <c r="S409" s="5" t="s">
        <v>15</v>
      </c>
    </row>
    <row r="410" spans="6:19">
      <c r="F410" s="3">
        <f>_xlfn.RANK.AVG(Table16[[#This Row],[margin]], Table16[margin], 1)</f>
        <v>136.5</v>
      </c>
      <c r="G410" s="3">
        <f>COUNTIF(Table16[margin], Table16[[#This Row],[margin]])</f>
        <v>4</v>
      </c>
      <c r="H410" s="5" t="s">
        <v>19</v>
      </c>
      <c r="I410" s="6">
        <v>29</v>
      </c>
      <c r="R410" s="3">
        <v>136.5</v>
      </c>
      <c r="S410" s="5" t="s">
        <v>19</v>
      </c>
    </row>
    <row r="411" spans="6:19">
      <c r="F411" s="3">
        <f>_xlfn.RANK.AVG(Table16[[#This Row],[margin]], Table16[margin], 1)</f>
        <v>136.5</v>
      </c>
      <c r="G411" s="3">
        <f>COUNTIF(Table16[margin], Table16[[#This Row],[margin]])</f>
        <v>4</v>
      </c>
      <c r="H411" s="5" t="s">
        <v>19</v>
      </c>
      <c r="I411" s="6">
        <v>29</v>
      </c>
      <c r="R411" s="3">
        <v>136.5</v>
      </c>
      <c r="S411" s="5" t="s">
        <v>19</v>
      </c>
    </row>
    <row r="412" spans="6:19">
      <c r="F412" s="3">
        <f>_xlfn.RANK.AVG(Table16[[#This Row],[margin]], Table16[margin], 1)</f>
        <v>136.5</v>
      </c>
      <c r="G412" s="3">
        <f>COUNTIF(Table16[margin], Table16[[#This Row],[margin]])</f>
        <v>4</v>
      </c>
      <c r="H412" s="5" t="s">
        <v>15</v>
      </c>
      <c r="I412" s="6">
        <v>29</v>
      </c>
      <c r="R412" s="3">
        <v>136.5</v>
      </c>
      <c r="S412" s="5" t="s">
        <v>15</v>
      </c>
    </row>
    <row r="413" spans="6:19">
      <c r="F413" s="3">
        <f>_xlfn.RANK.AVG(Table16[[#This Row],[margin]], Table16[margin], 1)</f>
        <v>136.5</v>
      </c>
      <c r="G413" s="3">
        <f>COUNTIF(Table16[margin], Table16[[#This Row],[margin]])</f>
        <v>4</v>
      </c>
      <c r="H413" s="5" t="s">
        <v>15</v>
      </c>
      <c r="I413" s="6">
        <v>29</v>
      </c>
      <c r="R413" s="3">
        <v>136.5</v>
      </c>
      <c r="S413" s="5" t="s">
        <v>15</v>
      </c>
    </row>
    <row r="414" spans="6:19">
      <c r="F414" s="3">
        <f>_xlfn.RANK.AVG(Table16[[#This Row],[margin]], Table16[margin], 1)</f>
        <v>142.5</v>
      </c>
      <c r="G414" s="3">
        <f>COUNTIF(Table16[margin], Table16[[#This Row],[margin]])</f>
        <v>8</v>
      </c>
      <c r="H414" s="5" t="s">
        <v>19</v>
      </c>
      <c r="I414" s="6">
        <v>31</v>
      </c>
      <c r="R414" s="3">
        <v>142.5</v>
      </c>
      <c r="S414" s="5" t="s">
        <v>19</v>
      </c>
    </row>
    <row r="415" spans="6:19">
      <c r="F415" s="3">
        <f>_xlfn.RANK.AVG(Table16[[#This Row],[margin]], Table16[margin], 1)</f>
        <v>142.5</v>
      </c>
      <c r="G415" s="3">
        <f>COUNTIF(Table16[margin], Table16[[#This Row],[margin]])</f>
        <v>8</v>
      </c>
      <c r="H415" s="5" t="s">
        <v>19</v>
      </c>
      <c r="I415" s="6">
        <v>31</v>
      </c>
      <c r="R415" s="3">
        <v>142.5</v>
      </c>
      <c r="S415" s="5" t="s">
        <v>19</v>
      </c>
    </row>
    <row r="416" spans="6:19">
      <c r="F416" s="3">
        <f>_xlfn.RANK.AVG(Table16[[#This Row],[margin]], Table16[margin], 1)</f>
        <v>142.5</v>
      </c>
      <c r="G416" s="3">
        <f>COUNTIF(Table16[margin], Table16[[#This Row],[margin]])</f>
        <v>8</v>
      </c>
      <c r="H416" s="5" t="s">
        <v>19</v>
      </c>
      <c r="I416" s="6">
        <v>31</v>
      </c>
      <c r="R416" s="3">
        <v>142.5</v>
      </c>
      <c r="S416" s="5" t="s">
        <v>19</v>
      </c>
    </row>
    <row r="417" spans="6:19">
      <c r="F417" s="3">
        <f>_xlfn.RANK.AVG(Table16[[#This Row],[margin]], Table16[margin], 1)</f>
        <v>142.5</v>
      </c>
      <c r="G417" s="3">
        <f>COUNTIF(Table16[margin], Table16[[#This Row],[margin]])</f>
        <v>8</v>
      </c>
      <c r="H417" s="5" t="s">
        <v>19</v>
      </c>
      <c r="I417" s="6">
        <v>31</v>
      </c>
      <c r="R417" s="3">
        <v>142.5</v>
      </c>
      <c r="S417" s="5" t="s">
        <v>19</v>
      </c>
    </row>
    <row r="418" spans="6:19">
      <c r="F418" s="3">
        <f>_xlfn.RANK.AVG(Table16[[#This Row],[margin]], Table16[margin], 1)</f>
        <v>142.5</v>
      </c>
      <c r="G418" s="3">
        <f>COUNTIF(Table16[margin], Table16[[#This Row],[margin]])</f>
        <v>8</v>
      </c>
      <c r="H418" s="5" t="s">
        <v>15</v>
      </c>
      <c r="I418" s="6">
        <v>31</v>
      </c>
      <c r="R418" s="3">
        <v>142.5</v>
      </c>
      <c r="S418" s="5" t="s">
        <v>15</v>
      </c>
    </row>
    <row r="419" spans="6:19">
      <c r="F419" s="3">
        <f>_xlfn.RANK.AVG(Table16[[#This Row],[margin]], Table16[margin], 1)</f>
        <v>142.5</v>
      </c>
      <c r="G419" s="3">
        <f>COUNTIF(Table16[margin], Table16[[#This Row],[margin]])</f>
        <v>8</v>
      </c>
      <c r="H419" s="5" t="s">
        <v>15</v>
      </c>
      <c r="I419" s="6">
        <v>31</v>
      </c>
      <c r="R419" s="3">
        <v>142.5</v>
      </c>
      <c r="S419" s="5" t="s">
        <v>15</v>
      </c>
    </row>
    <row r="420" spans="6:19">
      <c r="F420" s="3">
        <f>_xlfn.RANK.AVG(Table16[[#This Row],[margin]], Table16[margin], 1)</f>
        <v>142.5</v>
      </c>
      <c r="G420" s="3">
        <f>COUNTIF(Table16[margin], Table16[[#This Row],[margin]])</f>
        <v>8</v>
      </c>
      <c r="H420" s="5" t="s">
        <v>15</v>
      </c>
      <c r="I420" s="6">
        <v>31</v>
      </c>
      <c r="R420" s="3">
        <v>142.5</v>
      </c>
      <c r="S420" s="5" t="s">
        <v>15</v>
      </c>
    </row>
    <row r="421" spans="6:19">
      <c r="F421" s="3">
        <f>_xlfn.RANK.AVG(Table16[[#This Row],[margin]], Table16[margin], 1)</f>
        <v>142.5</v>
      </c>
      <c r="G421" s="3">
        <f>COUNTIF(Table16[margin], Table16[[#This Row],[margin]])</f>
        <v>8</v>
      </c>
      <c r="H421" s="5" t="s">
        <v>15</v>
      </c>
      <c r="I421" s="6">
        <v>31</v>
      </c>
      <c r="R421" s="3">
        <v>142.5</v>
      </c>
      <c r="S421" s="5" t="s">
        <v>15</v>
      </c>
    </row>
    <row r="422" spans="6:19">
      <c r="F422" s="3">
        <f>_xlfn.RANK.AVG(Table16[[#This Row],[margin]], Table16[margin], 1)</f>
        <v>148</v>
      </c>
      <c r="G422" s="3">
        <f>COUNTIF(Table16[margin], Table16[[#This Row],[margin]])</f>
        <v>3</v>
      </c>
      <c r="H422" s="5" t="s">
        <v>19</v>
      </c>
      <c r="I422" s="6">
        <v>32</v>
      </c>
      <c r="R422" s="3">
        <v>148</v>
      </c>
      <c r="S422" s="5" t="s">
        <v>19</v>
      </c>
    </row>
    <row r="423" spans="6:19">
      <c r="F423" s="3">
        <f>_xlfn.RANK.AVG(Table16[[#This Row],[margin]], Table16[margin], 1)</f>
        <v>148</v>
      </c>
      <c r="G423" s="3">
        <f>COUNTIF(Table16[margin], Table16[[#This Row],[margin]])</f>
        <v>3</v>
      </c>
      <c r="H423" s="5" t="s">
        <v>19</v>
      </c>
      <c r="I423" s="6">
        <v>32</v>
      </c>
      <c r="R423" s="3">
        <v>148</v>
      </c>
      <c r="S423" s="5" t="s">
        <v>19</v>
      </c>
    </row>
    <row r="424" spans="6:19">
      <c r="F424" s="3">
        <f>_xlfn.RANK.AVG(Table16[[#This Row],[margin]], Table16[margin], 1)</f>
        <v>148</v>
      </c>
      <c r="G424" s="3">
        <f>COUNTIF(Table16[margin], Table16[[#This Row],[margin]])</f>
        <v>3</v>
      </c>
      <c r="H424" s="5" t="s">
        <v>15</v>
      </c>
      <c r="I424" s="6">
        <v>32</v>
      </c>
      <c r="R424" s="3">
        <v>148</v>
      </c>
      <c r="S424" s="5" t="s">
        <v>15</v>
      </c>
    </row>
    <row r="425" spans="6:19">
      <c r="F425" s="3">
        <f>_xlfn.RANK.AVG(Table16[[#This Row],[margin]], Table16[margin], 1)</f>
        <v>150.5</v>
      </c>
      <c r="G425" s="3">
        <f>COUNTIF(Table16[margin], Table16[[#This Row],[margin]])</f>
        <v>2</v>
      </c>
      <c r="H425" s="5" t="s">
        <v>15</v>
      </c>
      <c r="I425" s="6">
        <v>33</v>
      </c>
      <c r="R425" s="3">
        <v>150.5</v>
      </c>
      <c r="S425" s="5" t="s">
        <v>15</v>
      </c>
    </row>
    <row r="426" spans="6:19">
      <c r="F426" s="3">
        <f>_xlfn.RANK.AVG(Table16[[#This Row],[margin]], Table16[margin], 1)</f>
        <v>150.5</v>
      </c>
      <c r="G426" s="3">
        <f>COUNTIF(Table16[margin], Table16[[#This Row],[margin]])</f>
        <v>2</v>
      </c>
      <c r="H426" s="5" t="s">
        <v>15</v>
      </c>
      <c r="I426" s="6">
        <v>33</v>
      </c>
      <c r="R426" s="3">
        <v>150.5</v>
      </c>
      <c r="S426" s="5" t="s">
        <v>15</v>
      </c>
    </row>
    <row r="427" spans="6:19">
      <c r="F427" s="3">
        <f>_xlfn.RANK.AVG(Table16[[#This Row],[margin]], Table16[margin], 1)</f>
        <v>155.5</v>
      </c>
      <c r="G427" s="3">
        <f>COUNTIF(Table16[margin], Table16[[#This Row],[margin]])</f>
        <v>8</v>
      </c>
      <c r="H427" s="5" t="s">
        <v>19</v>
      </c>
      <c r="I427" s="6">
        <v>34</v>
      </c>
      <c r="R427" s="3">
        <v>155.5</v>
      </c>
      <c r="S427" s="5" t="s">
        <v>19</v>
      </c>
    </row>
    <row r="428" spans="6:19">
      <c r="F428" s="3">
        <f>_xlfn.RANK.AVG(Table16[[#This Row],[margin]], Table16[margin], 1)</f>
        <v>155.5</v>
      </c>
      <c r="G428" s="3">
        <f>COUNTIF(Table16[margin], Table16[[#This Row],[margin]])</f>
        <v>8</v>
      </c>
      <c r="H428" s="5" t="s">
        <v>15</v>
      </c>
      <c r="I428" s="6">
        <v>34</v>
      </c>
      <c r="R428" s="3">
        <v>155.5</v>
      </c>
      <c r="S428" s="5" t="s">
        <v>15</v>
      </c>
    </row>
    <row r="429" spans="6:19">
      <c r="F429" s="3">
        <f>_xlfn.RANK.AVG(Table16[[#This Row],[margin]], Table16[margin], 1)</f>
        <v>155.5</v>
      </c>
      <c r="G429" s="3">
        <f>COUNTIF(Table16[margin], Table16[[#This Row],[margin]])</f>
        <v>8</v>
      </c>
      <c r="H429" s="5" t="s">
        <v>15</v>
      </c>
      <c r="I429" s="6">
        <v>34</v>
      </c>
      <c r="R429" s="3">
        <v>155.5</v>
      </c>
      <c r="S429" s="5" t="s">
        <v>15</v>
      </c>
    </row>
    <row r="430" spans="6:19">
      <c r="F430" s="3">
        <f>_xlfn.RANK.AVG(Table16[[#This Row],[margin]], Table16[margin], 1)</f>
        <v>155.5</v>
      </c>
      <c r="G430" s="3">
        <f>COUNTIF(Table16[margin], Table16[[#This Row],[margin]])</f>
        <v>8</v>
      </c>
      <c r="H430" s="5" t="s">
        <v>15</v>
      </c>
      <c r="I430" s="6">
        <v>34</v>
      </c>
      <c r="R430" s="3">
        <v>155.5</v>
      </c>
      <c r="S430" s="5" t="s">
        <v>15</v>
      </c>
    </row>
    <row r="431" spans="6:19">
      <c r="F431" s="3">
        <f>_xlfn.RANK.AVG(Table16[[#This Row],[margin]], Table16[margin], 1)</f>
        <v>155.5</v>
      </c>
      <c r="G431" s="3">
        <f>COUNTIF(Table16[margin], Table16[[#This Row],[margin]])</f>
        <v>8</v>
      </c>
      <c r="H431" s="5" t="s">
        <v>15</v>
      </c>
      <c r="I431" s="6">
        <v>34</v>
      </c>
      <c r="R431" s="3">
        <v>155.5</v>
      </c>
      <c r="S431" s="5" t="s">
        <v>15</v>
      </c>
    </row>
    <row r="432" spans="6:19">
      <c r="F432" s="3">
        <f>_xlfn.RANK.AVG(Table16[[#This Row],[margin]], Table16[margin], 1)</f>
        <v>155.5</v>
      </c>
      <c r="G432" s="3">
        <f>COUNTIF(Table16[margin], Table16[[#This Row],[margin]])</f>
        <v>8</v>
      </c>
      <c r="H432" s="5" t="s">
        <v>15</v>
      </c>
      <c r="I432" s="6">
        <v>34</v>
      </c>
      <c r="R432" s="3">
        <v>155.5</v>
      </c>
      <c r="S432" s="5" t="s">
        <v>15</v>
      </c>
    </row>
    <row r="433" spans="6:19">
      <c r="F433" s="3">
        <f>_xlfn.RANK.AVG(Table16[[#This Row],[margin]], Table16[margin], 1)</f>
        <v>155.5</v>
      </c>
      <c r="G433" s="3">
        <f>COUNTIF(Table16[margin], Table16[[#This Row],[margin]])</f>
        <v>8</v>
      </c>
      <c r="H433" s="5" t="s">
        <v>15</v>
      </c>
      <c r="I433" s="6">
        <v>34</v>
      </c>
      <c r="R433" s="3">
        <v>155.5</v>
      </c>
      <c r="S433" s="5" t="s">
        <v>15</v>
      </c>
    </row>
    <row r="434" spans="6:19">
      <c r="F434" s="3">
        <f>_xlfn.RANK.AVG(Table16[[#This Row],[margin]], Table16[margin], 1)</f>
        <v>155.5</v>
      </c>
      <c r="G434" s="3">
        <f>COUNTIF(Table16[margin], Table16[[#This Row],[margin]])</f>
        <v>8</v>
      </c>
      <c r="H434" s="5" t="s">
        <v>15</v>
      </c>
      <c r="I434" s="6">
        <v>34</v>
      </c>
      <c r="R434" s="3">
        <v>155.5</v>
      </c>
      <c r="S434" s="5" t="s">
        <v>15</v>
      </c>
    </row>
    <row r="435" spans="6:19">
      <c r="F435" s="3">
        <f>_xlfn.RANK.AVG(Table16[[#This Row],[margin]], Table16[margin], 1)</f>
        <v>161.5</v>
      </c>
      <c r="G435" s="3">
        <f>COUNTIF(Table16[margin], Table16[[#This Row],[margin]])</f>
        <v>4</v>
      </c>
      <c r="H435" s="5" t="s">
        <v>19</v>
      </c>
      <c r="I435" s="6">
        <v>35</v>
      </c>
      <c r="R435" s="3">
        <v>161.5</v>
      </c>
      <c r="S435" s="5" t="s">
        <v>19</v>
      </c>
    </row>
    <row r="436" spans="6:19">
      <c r="F436" s="3">
        <f>_xlfn.RANK.AVG(Table16[[#This Row],[margin]], Table16[margin], 1)</f>
        <v>161.5</v>
      </c>
      <c r="G436" s="3">
        <f>COUNTIF(Table16[margin], Table16[[#This Row],[margin]])</f>
        <v>4</v>
      </c>
      <c r="H436" s="5" t="s">
        <v>15</v>
      </c>
      <c r="I436" s="6">
        <v>35</v>
      </c>
      <c r="R436" s="3">
        <v>161.5</v>
      </c>
      <c r="S436" s="5" t="s">
        <v>15</v>
      </c>
    </row>
    <row r="437" spans="6:19">
      <c r="F437" s="3">
        <f>_xlfn.RANK.AVG(Table16[[#This Row],[margin]], Table16[margin], 1)</f>
        <v>161.5</v>
      </c>
      <c r="G437" s="3">
        <f>COUNTIF(Table16[margin], Table16[[#This Row],[margin]])</f>
        <v>4</v>
      </c>
      <c r="H437" s="5" t="s">
        <v>15</v>
      </c>
      <c r="I437" s="6">
        <v>35</v>
      </c>
      <c r="R437" s="3">
        <v>161.5</v>
      </c>
      <c r="S437" s="5" t="s">
        <v>15</v>
      </c>
    </row>
    <row r="438" spans="6:19">
      <c r="F438" s="3">
        <f>_xlfn.RANK.AVG(Table16[[#This Row],[margin]], Table16[margin], 1)</f>
        <v>161.5</v>
      </c>
      <c r="G438" s="3">
        <f>COUNTIF(Table16[margin], Table16[[#This Row],[margin]])</f>
        <v>4</v>
      </c>
      <c r="H438" s="5" t="s">
        <v>15</v>
      </c>
      <c r="I438" s="6">
        <v>35</v>
      </c>
      <c r="R438" s="3">
        <v>161.5</v>
      </c>
      <c r="S438" s="5" t="s">
        <v>15</v>
      </c>
    </row>
    <row r="439" spans="6:19">
      <c r="F439" s="3">
        <f>_xlfn.RANK.AVG(Table16[[#This Row],[margin]], Table16[margin], 1)</f>
        <v>164</v>
      </c>
      <c r="G439" s="3">
        <f>COUNTIF(Table16[margin], Table16[[#This Row],[margin]])</f>
        <v>1</v>
      </c>
      <c r="H439" s="5" t="s">
        <v>15</v>
      </c>
      <c r="I439" s="6">
        <v>36</v>
      </c>
      <c r="R439" s="3">
        <v>164</v>
      </c>
      <c r="S439" s="5" t="s">
        <v>15</v>
      </c>
    </row>
    <row r="440" spans="6:19">
      <c r="F440" s="3">
        <f>_xlfn.RANK.AVG(Table16[[#This Row],[margin]], Table16[margin], 1)</f>
        <v>165</v>
      </c>
      <c r="G440" s="3">
        <f>COUNTIF(Table16[margin], Table16[[#This Row],[margin]])</f>
        <v>1</v>
      </c>
      <c r="H440" s="5" t="s">
        <v>19</v>
      </c>
      <c r="I440" s="6">
        <v>37</v>
      </c>
      <c r="R440" s="3">
        <v>165</v>
      </c>
      <c r="S440" s="5" t="s">
        <v>19</v>
      </c>
    </row>
    <row r="441" spans="6:19">
      <c r="F441" s="3">
        <f>_xlfn.RANK.AVG(Table16[[#This Row],[margin]], Table16[margin], 1)</f>
        <v>166.5</v>
      </c>
      <c r="G441" s="3">
        <f>COUNTIF(Table16[margin], Table16[[#This Row],[margin]])</f>
        <v>2</v>
      </c>
      <c r="H441" s="5" t="s">
        <v>19</v>
      </c>
      <c r="I441" s="6">
        <v>38</v>
      </c>
      <c r="R441" s="3">
        <v>166.5</v>
      </c>
      <c r="S441" s="5" t="s">
        <v>19</v>
      </c>
    </row>
    <row r="442" spans="6:19">
      <c r="F442" s="3">
        <f>_xlfn.RANK.AVG(Table16[[#This Row],[margin]], Table16[margin], 1)</f>
        <v>166.5</v>
      </c>
      <c r="G442" s="3">
        <f>COUNTIF(Table16[margin], Table16[[#This Row],[margin]])</f>
        <v>2</v>
      </c>
      <c r="H442" s="5" t="s">
        <v>15</v>
      </c>
      <c r="I442" s="6">
        <v>38</v>
      </c>
      <c r="R442" s="3">
        <v>166.5</v>
      </c>
      <c r="S442" s="5" t="s">
        <v>15</v>
      </c>
    </row>
    <row r="443" spans="6:19">
      <c r="F443" s="3">
        <f>_xlfn.RANK.AVG(Table16[[#This Row],[margin]], Table16[margin], 1)</f>
        <v>168</v>
      </c>
      <c r="G443" s="3">
        <f>COUNTIF(Table16[margin], Table16[[#This Row],[margin]])</f>
        <v>1</v>
      </c>
      <c r="H443" s="5" t="s">
        <v>19</v>
      </c>
      <c r="I443" s="6">
        <v>39</v>
      </c>
      <c r="R443" s="3">
        <v>168</v>
      </c>
      <c r="S443" s="5" t="s">
        <v>19</v>
      </c>
    </row>
    <row r="444" spans="6:19">
      <c r="F444" s="3">
        <f>_xlfn.RANK.AVG(Table16[[#This Row],[margin]], Table16[margin], 1)</f>
        <v>169.5</v>
      </c>
      <c r="G444" s="3">
        <f>COUNTIF(Table16[margin], Table16[[#This Row],[margin]])</f>
        <v>2</v>
      </c>
      <c r="H444" s="5" t="s">
        <v>19</v>
      </c>
      <c r="I444" s="6">
        <v>40</v>
      </c>
      <c r="R444" s="3">
        <v>169.5</v>
      </c>
      <c r="S444" s="5" t="s">
        <v>19</v>
      </c>
    </row>
    <row r="445" spans="6:19">
      <c r="F445" s="3">
        <f>_xlfn.RANK.AVG(Table16[[#This Row],[margin]], Table16[margin], 1)</f>
        <v>169.5</v>
      </c>
      <c r="G445" s="3">
        <f>COUNTIF(Table16[margin], Table16[[#This Row],[margin]])</f>
        <v>2</v>
      </c>
      <c r="H445" s="5" t="s">
        <v>15</v>
      </c>
      <c r="I445" s="6">
        <v>40</v>
      </c>
      <c r="R445" s="3">
        <v>169.5</v>
      </c>
      <c r="S445" s="5" t="s">
        <v>15</v>
      </c>
    </row>
    <row r="446" spans="6:19">
      <c r="F446" s="3">
        <f>_xlfn.RANK.AVG(Table16[[#This Row],[margin]], Table16[margin], 1)</f>
        <v>173.5</v>
      </c>
      <c r="G446" s="3">
        <f>COUNTIF(Table16[margin], Table16[[#This Row],[margin]])</f>
        <v>6</v>
      </c>
      <c r="H446" s="5" t="s">
        <v>19</v>
      </c>
      <c r="I446" s="6">
        <v>41</v>
      </c>
      <c r="R446" s="3">
        <v>173.5</v>
      </c>
      <c r="S446" s="5" t="s">
        <v>19</v>
      </c>
    </row>
    <row r="447" spans="6:19">
      <c r="F447" s="3">
        <f>_xlfn.RANK.AVG(Table16[[#This Row],[margin]], Table16[margin], 1)</f>
        <v>173.5</v>
      </c>
      <c r="G447" s="3">
        <f>COUNTIF(Table16[margin], Table16[[#This Row],[margin]])</f>
        <v>6</v>
      </c>
      <c r="H447" s="5" t="s">
        <v>15</v>
      </c>
      <c r="I447" s="6">
        <v>41</v>
      </c>
      <c r="R447" s="3">
        <v>173.5</v>
      </c>
      <c r="S447" s="5" t="s">
        <v>15</v>
      </c>
    </row>
    <row r="448" spans="6:19">
      <c r="F448" s="3">
        <f>_xlfn.RANK.AVG(Table16[[#This Row],[margin]], Table16[margin], 1)</f>
        <v>173.5</v>
      </c>
      <c r="G448" s="3">
        <f>COUNTIF(Table16[margin], Table16[[#This Row],[margin]])</f>
        <v>6</v>
      </c>
      <c r="H448" s="5" t="s">
        <v>15</v>
      </c>
      <c r="I448" s="6">
        <v>41</v>
      </c>
      <c r="R448" s="3">
        <v>173.5</v>
      </c>
      <c r="S448" s="5" t="s">
        <v>15</v>
      </c>
    </row>
    <row r="449" spans="6:19">
      <c r="F449" s="3">
        <f>_xlfn.RANK.AVG(Table16[[#This Row],[margin]], Table16[margin], 1)</f>
        <v>173.5</v>
      </c>
      <c r="G449" s="3">
        <f>COUNTIF(Table16[margin], Table16[[#This Row],[margin]])</f>
        <v>6</v>
      </c>
      <c r="H449" s="5" t="s">
        <v>15</v>
      </c>
      <c r="I449" s="6">
        <v>41</v>
      </c>
      <c r="R449" s="3">
        <v>173.5</v>
      </c>
      <c r="S449" s="5" t="s">
        <v>15</v>
      </c>
    </row>
    <row r="450" spans="6:19">
      <c r="F450" s="3">
        <f>_xlfn.RANK.AVG(Table16[[#This Row],[margin]], Table16[margin], 1)</f>
        <v>173.5</v>
      </c>
      <c r="G450" s="3">
        <f>COUNTIF(Table16[margin], Table16[[#This Row],[margin]])</f>
        <v>6</v>
      </c>
      <c r="H450" s="5" t="s">
        <v>15</v>
      </c>
      <c r="I450" s="6">
        <v>41</v>
      </c>
      <c r="R450" s="3">
        <v>173.5</v>
      </c>
      <c r="S450" s="5" t="s">
        <v>15</v>
      </c>
    </row>
    <row r="451" spans="6:19">
      <c r="F451" s="3">
        <f>_xlfn.RANK.AVG(Table16[[#This Row],[margin]], Table16[margin], 1)</f>
        <v>173.5</v>
      </c>
      <c r="G451" s="3">
        <f>COUNTIF(Table16[margin], Table16[[#This Row],[margin]])</f>
        <v>6</v>
      </c>
      <c r="H451" s="5" t="s">
        <v>15</v>
      </c>
      <c r="I451" s="6">
        <v>41</v>
      </c>
      <c r="R451" s="3">
        <v>173.5</v>
      </c>
      <c r="S451" s="5" t="s">
        <v>15</v>
      </c>
    </row>
    <row r="452" spans="6:19">
      <c r="F452" s="3">
        <f>_xlfn.RANK.AVG(Table16[[#This Row],[margin]], Table16[margin], 1)</f>
        <v>178</v>
      </c>
      <c r="G452" s="3">
        <f>COUNTIF(Table16[margin], Table16[[#This Row],[margin]])</f>
        <v>3</v>
      </c>
      <c r="H452" s="5" t="s">
        <v>15</v>
      </c>
      <c r="I452" s="6">
        <v>42</v>
      </c>
      <c r="R452" s="3">
        <v>178</v>
      </c>
      <c r="S452" s="5" t="s">
        <v>15</v>
      </c>
    </row>
    <row r="453" spans="6:19">
      <c r="F453" s="3">
        <f>_xlfn.RANK.AVG(Table16[[#This Row],[margin]], Table16[margin], 1)</f>
        <v>178</v>
      </c>
      <c r="G453" s="3">
        <f>COUNTIF(Table16[margin], Table16[[#This Row],[margin]])</f>
        <v>3</v>
      </c>
      <c r="H453" s="5" t="s">
        <v>15</v>
      </c>
      <c r="I453" s="6">
        <v>42</v>
      </c>
      <c r="R453" s="3">
        <v>178</v>
      </c>
      <c r="S453" s="5" t="s">
        <v>15</v>
      </c>
    </row>
    <row r="454" spans="6:19">
      <c r="F454" s="3">
        <f>_xlfn.RANK.AVG(Table16[[#This Row],[margin]], Table16[margin], 1)</f>
        <v>178</v>
      </c>
      <c r="G454" s="3">
        <f>COUNTIF(Table16[margin], Table16[[#This Row],[margin]])</f>
        <v>3</v>
      </c>
      <c r="H454" s="5" t="s">
        <v>15</v>
      </c>
      <c r="I454" s="6">
        <v>42</v>
      </c>
      <c r="R454" s="3">
        <v>178</v>
      </c>
      <c r="S454" s="5" t="s">
        <v>15</v>
      </c>
    </row>
    <row r="455" spans="6:19">
      <c r="F455" s="3">
        <f>_xlfn.RANK.AVG(Table16[[#This Row],[margin]], Table16[margin], 1)</f>
        <v>181.5</v>
      </c>
      <c r="G455" s="3">
        <f>COUNTIF(Table16[margin], Table16[[#This Row],[margin]])</f>
        <v>4</v>
      </c>
      <c r="H455" s="5" t="s">
        <v>19</v>
      </c>
      <c r="I455" s="6">
        <v>45</v>
      </c>
      <c r="R455" s="3">
        <v>181.5</v>
      </c>
      <c r="S455" s="5" t="s">
        <v>19</v>
      </c>
    </row>
    <row r="456" spans="6:19">
      <c r="F456" s="3">
        <f>_xlfn.RANK.AVG(Table16[[#This Row],[margin]], Table16[margin], 1)</f>
        <v>181.5</v>
      </c>
      <c r="G456" s="3">
        <f>COUNTIF(Table16[margin], Table16[[#This Row],[margin]])</f>
        <v>4</v>
      </c>
      <c r="H456" s="5" t="s">
        <v>15</v>
      </c>
      <c r="I456" s="6">
        <v>45</v>
      </c>
      <c r="R456" s="3">
        <v>181.5</v>
      </c>
      <c r="S456" s="5" t="s">
        <v>15</v>
      </c>
    </row>
    <row r="457" spans="6:19">
      <c r="F457" s="3">
        <f>_xlfn.RANK.AVG(Table16[[#This Row],[margin]], Table16[margin], 1)</f>
        <v>181.5</v>
      </c>
      <c r="G457" s="3">
        <f>COUNTIF(Table16[margin], Table16[[#This Row],[margin]])</f>
        <v>4</v>
      </c>
      <c r="H457" s="5" t="s">
        <v>15</v>
      </c>
      <c r="I457" s="6">
        <v>45</v>
      </c>
      <c r="R457" s="3">
        <v>181.5</v>
      </c>
      <c r="S457" s="5" t="s">
        <v>15</v>
      </c>
    </row>
    <row r="458" spans="6:19">
      <c r="F458" s="3">
        <f>_xlfn.RANK.AVG(Table16[[#This Row],[margin]], Table16[margin], 1)</f>
        <v>181.5</v>
      </c>
      <c r="G458" s="3">
        <f>COUNTIF(Table16[margin], Table16[[#This Row],[margin]])</f>
        <v>4</v>
      </c>
      <c r="H458" s="5" t="s">
        <v>15</v>
      </c>
      <c r="I458" s="6">
        <v>45</v>
      </c>
      <c r="R458" s="3">
        <v>181.5</v>
      </c>
      <c r="S458" s="5" t="s">
        <v>15</v>
      </c>
    </row>
    <row r="459" spans="6:19">
      <c r="F459" s="3">
        <f>_xlfn.RANK.AVG(Table16[[#This Row],[margin]], Table16[margin], 1)</f>
        <v>184.5</v>
      </c>
      <c r="G459" s="3">
        <f>COUNTIF(Table16[margin], Table16[[#This Row],[margin]])</f>
        <v>2</v>
      </c>
      <c r="H459" s="5" t="s">
        <v>15</v>
      </c>
      <c r="I459" s="6">
        <v>46</v>
      </c>
      <c r="R459" s="3">
        <v>184.5</v>
      </c>
      <c r="S459" s="5" t="s">
        <v>15</v>
      </c>
    </row>
    <row r="460" spans="6:19">
      <c r="F460" s="3">
        <f>_xlfn.RANK.AVG(Table16[[#This Row],[margin]], Table16[margin], 1)</f>
        <v>184.5</v>
      </c>
      <c r="G460" s="3">
        <f>COUNTIF(Table16[margin], Table16[[#This Row],[margin]])</f>
        <v>2</v>
      </c>
      <c r="H460" s="5" t="s">
        <v>15</v>
      </c>
      <c r="I460" s="6">
        <v>46</v>
      </c>
      <c r="R460" s="3">
        <v>184.5</v>
      </c>
      <c r="S460" s="5" t="s">
        <v>15</v>
      </c>
    </row>
    <row r="461" spans="6:19">
      <c r="F461" s="3">
        <f>_xlfn.RANK.AVG(Table16[[#This Row],[margin]], Table16[margin], 1)</f>
        <v>186.5</v>
      </c>
      <c r="G461" s="3">
        <f>COUNTIF(Table16[margin], Table16[[#This Row],[margin]])</f>
        <v>2</v>
      </c>
      <c r="H461" s="5" t="s">
        <v>15</v>
      </c>
      <c r="I461" s="6">
        <v>48</v>
      </c>
      <c r="R461" s="3">
        <v>186.5</v>
      </c>
      <c r="S461" s="5" t="s">
        <v>15</v>
      </c>
    </row>
    <row r="462" spans="6:19">
      <c r="F462" s="3">
        <f>_xlfn.RANK.AVG(Table16[[#This Row],[margin]], Table16[margin], 1)</f>
        <v>186.5</v>
      </c>
      <c r="G462" s="3">
        <f>COUNTIF(Table16[margin], Table16[[#This Row],[margin]])</f>
        <v>2</v>
      </c>
      <c r="H462" s="5" t="s">
        <v>15</v>
      </c>
      <c r="I462" s="6">
        <v>48</v>
      </c>
      <c r="R462" s="3">
        <v>186.5</v>
      </c>
      <c r="S462" s="5" t="s">
        <v>15</v>
      </c>
    </row>
    <row r="463" spans="6:19">
      <c r="F463" s="3">
        <f>_xlfn.RANK.AVG(Table16[[#This Row],[margin]], Table16[margin], 1)</f>
        <v>191</v>
      </c>
      <c r="G463" s="3">
        <f>COUNTIF(Table16[margin], Table16[[#This Row],[margin]])</f>
        <v>7</v>
      </c>
      <c r="H463" s="5" t="s">
        <v>19</v>
      </c>
      <c r="I463" s="6">
        <v>49</v>
      </c>
      <c r="R463" s="3">
        <v>191</v>
      </c>
      <c r="S463" s="5" t="s">
        <v>19</v>
      </c>
    </row>
    <row r="464" spans="6:19">
      <c r="F464" s="3">
        <f>_xlfn.RANK.AVG(Table16[[#This Row],[margin]], Table16[margin], 1)</f>
        <v>191</v>
      </c>
      <c r="G464" s="3">
        <f>COUNTIF(Table16[margin], Table16[[#This Row],[margin]])</f>
        <v>7</v>
      </c>
      <c r="H464" s="5" t="s">
        <v>19</v>
      </c>
      <c r="I464" s="6">
        <v>49</v>
      </c>
      <c r="R464" s="3">
        <v>191</v>
      </c>
      <c r="S464" s="5" t="s">
        <v>19</v>
      </c>
    </row>
    <row r="465" spans="6:19">
      <c r="F465" s="3">
        <f>_xlfn.RANK.AVG(Table16[[#This Row],[margin]], Table16[margin], 1)</f>
        <v>191</v>
      </c>
      <c r="G465" s="3">
        <f>COUNTIF(Table16[margin], Table16[[#This Row],[margin]])</f>
        <v>7</v>
      </c>
      <c r="H465" s="5" t="s">
        <v>15</v>
      </c>
      <c r="I465" s="6">
        <v>49</v>
      </c>
      <c r="R465" s="3">
        <v>191</v>
      </c>
      <c r="S465" s="5" t="s">
        <v>15</v>
      </c>
    </row>
    <row r="466" spans="6:19">
      <c r="F466" s="3">
        <f>_xlfn.RANK.AVG(Table16[[#This Row],[margin]], Table16[margin], 1)</f>
        <v>191</v>
      </c>
      <c r="G466" s="3">
        <f>COUNTIF(Table16[margin], Table16[[#This Row],[margin]])</f>
        <v>7</v>
      </c>
      <c r="H466" s="5" t="s">
        <v>15</v>
      </c>
      <c r="I466" s="6">
        <v>49</v>
      </c>
      <c r="R466" s="3">
        <v>191</v>
      </c>
      <c r="S466" s="5" t="s">
        <v>15</v>
      </c>
    </row>
    <row r="467" spans="6:19">
      <c r="F467" s="3">
        <f>_xlfn.RANK.AVG(Table16[[#This Row],[margin]], Table16[margin], 1)</f>
        <v>191</v>
      </c>
      <c r="G467" s="3">
        <f>COUNTIF(Table16[margin], Table16[[#This Row],[margin]])</f>
        <v>7</v>
      </c>
      <c r="H467" s="5" t="s">
        <v>15</v>
      </c>
      <c r="I467" s="6">
        <v>49</v>
      </c>
      <c r="R467" s="3">
        <v>191</v>
      </c>
      <c r="S467" s="5" t="s">
        <v>15</v>
      </c>
    </row>
    <row r="468" spans="6:19">
      <c r="F468" s="3">
        <f>_xlfn.RANK.AVG(Table16[[#This Row],[margin]], Table16[margin], 1)</f>
        <v>191</v>
      </c>
      <c r="G468" s="3">
        <f>COUNTIF(Table16[margin], Table16[[#This Row],[margin]])</f>
        <v>7</v>
      </c>
      <c r="H468" s="5" t="s">
        <v>15</v>
      </c>
      <c r="I468" s="6">
        <v>49</v>
      </c>
      <c r="R468" s="3">
        <v>191</v>
      </c>
      <c r="S468" s="5" t="s">
        <v>15</v>
      </c>
    </row>
    <row r="469" spans="6:19">
      <c r="F469" s="3">
        <f>_xlfn.RANK.AVG(Table16[[#This Row],[margin]], Table16[margin], 1)</f>
        <v>191</v>
      </c>
      <c r="G469" s="3">
        <f>COUNTIF(Table16[margin], Table16[[#This Row],[margin]])</f>
        <v>7</v>
      </c>
      <c r="H469" s="5" t="s">
        <v>15</v>
      </c>
      <c r="I469" s="6">
        <v>49</v>
      </c>
      <c r="R469" s="3">
        <v>191</v>
      </c>
      <c r="S469" s="5" t="s">
        <v>15</v>
      </c>
    </row>
    <row r="470" spans="6:19">
      <c r="F470" s="3">
        <f>_xlfn.RANK.AVG(Table16[[#This Row],[margin]], Table16[margin], 1)</f>
        <v>195.5</v>
      </c>
      <c r="G470" s="3">
        <f>COUNTIF(Table16[margin], Table16[[#This Row],[margin]])</f>
        <v>2</v>
      </c>
      <c r="H470" s="5" t="s">
        <v>15</v>
      </c>
      <c r="I470" s="6">
        <v>50</v>
      </c>
      <c r="R470" s="3">
        <v>195.5</v>
      </c>
      <c r="S470" s="5" t="s">
        <v>15</v>
      </c>
    </row>
    <row r="471" spans="6:19">
      <c r="F471" s="3">
        <f>_xlfn.RANK.AVG(Table16[[#This Row],[margin]], Table16[margin], 1)</f>
        <v>195.5</v>
      </c>
      <c r="G471" s="3">
        <f>COUNTIF(Table16[margin], Table16[[#This Row],[margin]])</f>
        <v>2</v>
      </c>
      <c r="H471" s="5" t="s">
        <v>15</v>
      </c>
      <c r="I471" s="6">
        <v>50</v>
      </c>
      <c r="R471" s="3">
        <v>195.5</v>
      </c>
      <c r="S471" s="5" t="s">
        <v>15</v>
      </c>
    </row>
    <row r="472" spans="6:19">
      <c r="F472" s="3">
        <f>_xlfn.RANK.AVG(Table16[[#This Row],[margin]], Table16[margin], 1)</f>
        <v>198.5</v>
      </c>
      <c r="G472" s="3">
        <f>COUNTIF(Table16[margin], Table16[[#This Row],[margin]])</f>
        <v>4</v>
      </c>
      <c r="H472" s="5" t="s">
        <v>19</v>
      </c>
      <c r="I472" s="6">
        <v>52</v>
      </c>
      <c r="R472" s="3">
        <v>198.5</v>
      </c>
      <c r="S472" s="5" t="s">
        <v>19</v>
      </c>
    </row>
    <row r="473" spans="6:19">
      <c r="F473" s="3">
        <f>_xlfn.RANK.AVG(Table16[[#This Row],[margin]], Table16[margin], 1)</f>
        <v>198.5</v>
      </c>
      <c r="G473" s="3">
        <f>COUNTIF(Table16[margin], Table16[[#This Row],[margin]])</f>
        <v>4</v>
      </c>
      <c r="H473" s="5" t="s">
        <v>15</v>
      </c>
      <c r="I473" s="6">
        <v>52</v>
      </c>
      <c r="R473" s="3">
        <v>198.5</v>
      </c>
      <c r="S473" s="5" t="s">
        <v>15</v>
      </c>
    </row>
    <row r="474" spans="6:19">
      <c r="F474" s="3">
        <f>_xlfn.RANK.AVG(Table16[[#This Row],[margin]], Table16[margin], 1)</f>
        <v>198.5</v>
      </c>
      <c r="G474" s="3">
        <f>COUNTIF(Table16[margin], Table16[[#This Row],[margin]])</f>
        <v>4</v>
      </c>
      <c r="H474" s="5" t="s">
        <v>15</v>
      </c>
      <c r="I474" s="6">
        <v>52</v>
      </c>
      <c r="R474" s="3">
        <v>198.5</v>
      </c>
      <c r="S474" s="5" t="s">
        <v>15</v>
      </c>
    </row>
    <row r="475" spans="6:19">
      <c r="F475" s="3">
        <f>_xlfn.RANK.AVG(Table16[[#This Row],[margin]], Table16[margin], 1)</f>
        <v>198.5</v>
      </c>
      <c r="G475" s="3">
        <f>COUNTIF(Table16[margin], Table16[[#This Row],[margin]])</f>
        <v>4</v>
      </c>
      <c r="H475" s="5" t="s">
        <v>15</v>
      </c>
      <c r="I475" s="6">
        <v>52</v>
      </c>
      <c r="R475" s="3">
        <v>198.5</v>
      </c>
      <c r="S475" s="5" t="s">
        <v>15</v>
      </c>
    </row>
    <row r="476" spans="6:19">
      <c r="F476" s="3">
        <f>_xlfn.RANK.AVG(Table16[[#This Row],[margin]], Table16[margin], 1)</f>
        <v>201.5</v>
      </c>
      <c r="G476" s="3">
        <f>COUNTIF(Table16[margin], Table16[[#This Row],[margin]])</f>
        <v>2</v>
      </c>
      <c r="H476" s="5" t="s">
        <v>19</v>
      </c>
      <c r="I476" s="6">
        <v>55</v>
      </c>
      <c r="R476" s="3">
        <v>201.5</v>
      </c>
      <c r="S476" s="5" t="s">
        <v>19</v>
      </c>
    </row>
    <row r="477" spans="6:19">
      <c r="F477" s="3">
        <f>_xlfn.RANK.AVG(Table16[[#This Row],[margin]], Table16[margin], 1)</f>
        <v>201.5</v>
      </c>
      <c r="G477" s="3">
        <f>COUNTIF(Table16[margin], Table16[[#This Row],[margin]])</f>
        <v>2</v>
      </c>
      <c r="H477" s="5" t="s">
        <v>15</v>
      </c>
      <c r="I477" s="6">
        <v>55</v>
      </c>
      <c r="R477" s="3">
        <v>201.5</v>
      </c>
      <c r="S477" s="5" t="s">
        <v>15</v>
      </c>
    </row>
    <row r="478" spans="6:19">
      <c r="F478" s="3">
        <f>_xlfn.RANK.AVG(Table16[[#This Row],[margin]], Table16[margin], 1)</f>
        <v>205.5</v>
      </c>
      <c r="G478" s="3">
        <f>COUNTIF(Table16[margin], Table16[[#This Row],[margin]])</f>
        <v>6</v>
      </c>
      <c r="H478" s="5" t="s">
        <v>15</v>
      </c>
      <c r="I478" s="6">
        <v>56</v>
      </c>
      <c r="R478" s="3">
        <v>205.5</v>
      </c>
      <c r="S478" s="5" t="s">
        <v>15</v>
      </c>
    </row>
    <row r="479" spans="6:19">
      <c r="F479" s="3">
        <f>_xlfn.RANK.AVG(Table16[[#This Row],[margin]], Table16[margin], 1)</f>
        <v>205.5</v>
      </c>
      <c r="G479" s="3">
        <f>COUNTIF(Table16[margin], Table16[[#This Row],[margin]])</f>
        <v>6</v>
      </c>
      <c r="H479" s="5" t="s">
        <v>15</v>
      </c>
      <c r="I479" s="6">
        <v>56</v>
      </c>
      <c r="R479" s="3">
        <v>205.5</v>
      </c>
      <c r="S479" s="5" t="s">
        <v>15</v>
      </c>
    </row>
    <row r="480" spans="6:19">
      <c r="F480" s="3">
        <f>_xlfn.RANK.AVG(Table16[[#This Row],[margin]], Table16[margin], 1)</f>
        <v>205.5</v>
      </c>
      <c r="G480" s="3">
        <f>COUNTIF(Table16[margin], Table16[[#This Row],[margin]])</f>
        <v>6</v>
      </c>
      <c r="H480" s="5" t="s">
        <v>15</v>
      </c>
      <c r="I480" s="6">
        <v>56</v>
      </c>
      <c r="R480" s="3">
        <v>205.5</v>
      </c>
      <c r="S480" s="5" t="s">
        <v>15</v>
      </c>
    </row>
    <row r="481" spans="6:19">
      <c r="F481" s="3">
        <f>_xlfn.RANK.AVG(Table16[[#This Row],[margin]], Table16[margin], 1)</f>
        <v>205.5</v>
      </c>
      <c r="G481" s="3">
        <f>COUNTIF(Table16[margin], Table16[[#This Row],[margin]])</f>
        <v>6</v>
      </c>
      <c r="H481" s="5" t="s">
        <v>15</v>
      </c>
      <c r="I481" s="6">
        <v>56</v>
      </c>
      <c r="R481" s="3">
        <v>205.5</v>
      </c>
      <c r="S481" s="5" t="s">
        <v>15</v>
      </c>
    </row>
    <row r="482" spans="6:19">
      <c r="F482" s="3">
        <f>_xlfn.RANK.AVG(Table16[[#This Row],[margin]], Table16[margin], 1)</f>
        <v>205.5</v>
      </c>
      <c r="G482" s="3">
        <f>COUNTIF(Table16[margin], Table16[[#This Row],[margin]])</f>
        <v>6</v>
      </c>
      <c r="H482" s="5" t="s">
        <v>15</v>
      </c>
      <c r="I482" s="6">
        <v>56</v>
      </c>
      <c r="R482" s="3">
        <v>205.5</v>
      </c>
      <c r="S482" s="5" t="s">
        <v>15</v>
      </c>
    </row>
    <row r="483" spans="6:19">
      <c r="F483" s="3">
        <f>_xlfn.RANK.AVG(Table16[[#This Row],[margin]], Table16[margin], 1)</f>
        <v>205.5</v>
      </c>
      <c r="G483" s="3">
        <f>COUNTIF(Table16[margin], Table16[[#This Row],[margin]])</f>
        <v>6</v>
      </c>
      <c r="H483" s="5" t="s">
        <v>15</v>
      </c>
      <c r="I483" s="6">
        <v>56</v>
      </c>
      <c r="R483" s="3">
        <v>205.5</v>
      </c>
      <c r="S483" s="5" t="s">
        <v>15</v>
      </c>
    </row>
    <row r="484" spans="6:19">
      <c r="F484" s="3">
        <f>_xlfn.RANK.AVG(Table16[[#This Row],[margin]], Table16[margin], 1)</f>
        <v>209.5</v>
      </c>
      <c r="G484" s="3">
        <f>COUNTIF(Table16[margin], Table16[[#This Row],[margin]])</f>
        <v>2</v>
      </c>
      <c r="H484" s="5" t="s">
        <v>19</v>
      </c>
      <c r="I484" s="6">
        <v>59</v>
      </c>
      <c r="R484" s="3">
        <v>209.5</v>
      </c>
      <c r="S484" s="5" t="s">
        <v>19</v>
      </c>
    </row>
    <row r="485" spans="6:19">
      <c r="F485" s="3">
        <f>_xlfn.RANK.AVG(Table16[[#This Row],[margin]], Table16[margin], 1)</f>
        <v>209.5</v>
      </c>
      <c r="G485" s="3">
        <f>COUNTIF(Table16[margin], Table16[[#This Row],[margin]])</f>
        <v>2</v>
      </c>
      <c r="H485" s="5" t="s">
        <v>15</v>
      </c>
      <c r="I485" s="6">
        <v>59</v>
      </c>
      <c r="R485" s="3">
        <v>209.5</v>
      </c>
      <c r="S485" s="5" t="s">
        <v>15</v>
      </c>
    </row>
    <row r="486" spans="6:19">
      <c r="F486" s="3">
        <f>_xlfn.RANK.AVG(Table16[[#This Row],[margin]], Table16[margin], 1)</f>
        <v>211</v>
      </c>
      <c r="G486" s="3">
        <f>COUNTIF(Table16[margin], Table16[[#This Row],[margin]])</f>
        <v>1</v>
      </c>
      <c r="H486" s="5" t="s">
        <v>15</v>
      </c>
      <c r="I486" s="6">
        <v>60</v>
      </c>
      <c r="R486" s="3">
        <v>211</v>
      </c>
      <c r="S486" s="5" t="s">
        <v>15</v>
      </c>
    </row>
    <row r="487" spans="6:19">
      <c r="F487" s="3">
        <f>_xlfn.RANK.AVG(Table16[[#This Row],[margin]], Table16[margin], 1)</f>
        <v>213</v>
      </c>
      <c r="G487" s="3">
        <f>COUNTIF(Table16[margin], Table16[[#This Row],[margin]])</f>
        <v>3</v>
      </c>
      <c r="H487" s="5" t="s">
        <v>15</v>
      </c>
      <c r="I487" s="6">
        <v>63</v>
      </c>
      <c r="R487" s="3">
        <v>213</v>
      </c>
      <c r="S487" s="5" t="s">
        <v>15</v>
      </c>
    </row>
    <row r="488" spans="6:19">
      <c r="F488" s="3">
        <f>_xlfn.RANK.AVG(Table16[[#This Row],[margin]], Table16[margin], 1)</f>
        <v>213</v>
      </c>
      <c r="G488" s="3">
        <f>COUNTIF(Table16[margin], Table16[[#This Row],[margin]])</f>
        <v>3</v>
      </c>
      <c r="H488" s="5" t="s">
        <v>15</v>
      </c>
      <c r="I488" s="6">
        <v>63</v>
      </c>
      <c r="R488" s="3">
        <v>213</v>
      </c>
      <c r="S488" s="5" t="s">
        <v>15</v>
      </c>
    </row>
    <row r="489" spans="6:19">
      <c r="F489" s="3">
        <f>_xlfn.RANK.AVG(Table16[[#This Row],[margin]], Table16[margin], 1)</f>
        <v>213</v>
      </c>
      <c r="G489" s="3">
        <f>COUNTIF(Table16[margin], Table16[[#This Row],[margin]])</f>
        <v>3</v>
      </c>
      <c r="H489" s="5" t="s">
        <v>15</v>
      </c>
      <c r="I489" s="6">
        <v>63</v>
      </c>
      <c r="R489" s="3">
        <v>213</v>
      </c>
      <c r="S489" s="5" t="s">
        <v>15</v>
      </c>
    </row>
    <row r="490" spans="6:19">
      <c r="F490" s="3">
        <f>_xlfn.RANK.AVG(Table16[[#This Row],[margin]], Table16[margin], 1)</f>
        <v>215</v>
      </c>
      <c r="G490" s="10">
        <f>COUNTIF(Table16[margin], Table16[[#This Row],[margin]])</f>
        <v>1</v>
      </c>
      <c r="H490" s="7" t="s">
        <v>15</v>
      </c>
      <c r="I490" s="8">
        <v>73</v>
      </c>
      <c r="R490" s="3">
        <v>215</v>
      </c>
      <c r="S490" s="7" t="s">
        <v>15</v>
      </c>
    </row>
  </sheetData>
  <conditionalFormatting sqref="H275:H490">
    <cfRule type="cellIs" dxfId="3" priority="4" operator="equal">
      <formula>"away"</formula>
    </cfRule>
    <cfRule type="cellIs" dxfId="2" priority="5" operator="equal">
      <formula>"home"</formula>
    </cfRule>
    <cfRule type="colorScale" priority="6">
      <colorScale>
        <cfvo type="min"/>
        <cfvo type="percentile" val="50"/>
        <cfvo type="max"/>
        <color rgb="FFF8696B"/>
        <color rgb="FFFFEB84"/>
        <color rgb="FF63BE7B"/>
      </colorScale>
    </cfRule>
  </conditionalFormatting>
  <conditionalFormatting sqref="S275:S490">
    <cfRule type="cellIs" dxfId="1" priority="1" operator="equal">
      <formula>"away"</formula>
    </cfRule>
    <cfRule type="cellIs" dxfId="0" priority="2" operator="equal">
      <formula>"home"</formula>
    </cfRule>
    <cfRule type="colorScale" priority="3">
      <colorScale>
        <cfvo type="min"/>
        <cfvo type="percentile" val="50"/>
        <cfvo type="max"/>
        <color rgb="FFF8696B"/>
        <color rgb="FFFFEB84"/>
        <color rgb="FF63BE7B"/>
      </colorScale>
    </cfRule>
  </conditionalFormatting>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DFD6D-4100-4208-9B79-75C2E862CA16}">
  <sheetPr>
    <tabColor theme="9" tint="0.59999389629810485"/>
  </sheetPr>
  <dimension ref="B2:M54"/>
  <sheetViews>
    <sheetView showGridLines="0" topLeftCell="A24" workbookViewId="0">
      <selection activeCell="M14" sqref="M14"/>
    </sheetView>
  </sheetViews>
  <sheetFormatPr defaultRowHeight="14.4"/>
  <cols>
    <col min="1" max="1" width="5.109375" customWidth="1"/>
    <col min="2" max="2" width="16.44140625" bestFit="1" customWidth="1"/>
    <col min="3" max="3" width="12.6640625" bestFit="1" customWidth="1"/>
    <col min="4" max="4" width="13.21875" bestFit="1" customWidth="1"/>
    <col min="5" max="5" width="12.6640625" bestFit="1" customWidth="1"/>
    <col min="6" max="6" width="12" bestFit="1" customWidth="1"/>
    <col min="7" max="7" width="12.77734375" bestFit="1" customWidth="1"/>
    <col min="8" max="10" width="12.6640625" bestFit="1" customWidth="1"/>
  </cols>
  <sheetData>
    <row r="2" spans="2:7">
      <c r="B2" t="s">
        <v>134</v>
      </c>
    </row>
    <row r="3" spans="2:7" ht="15" thickBot="1"/>
    <row r="4" spans="2:7">
      <c r="B4" s="24" t="s">
        <v>135</v>
      </c>
      <c r="C4" s="24"/>
    </row>
    <row r="5" spans="2:7">
      <c r="B5" t="s">
        <v>136</v>
      </c>
      <c r="C5">
        <v>0.53730339636338731</v>
      </c>
    </row>
    <row r="6" spans="2:7">
      <c r="B6" t="s">
        <v>137</v>
      </c>
      <c r="C6">
        <v>0.28869493974363131</v>
      </c>
    </row>
    <row r="7" spans="2:7">
      <c r="B7" t="s">
        <v>138</v>
      </c>
      <c r="C7">
        <v>0.27202372739387265</v>
      </c>
    </row>
    <row r="8" spans="2:7">
      <c r="B8" t="s">
        <v>139</v>
      </c>
      <c r="C8">
        <v>16.628495046258397</v>
      </c>
    </row>
    <row r="9" spans="2:7" ht="15" thickBot="1">
      <c r="B9" s="22" t="s">
        <v>140</v>
      </c>
      <c r="C9" s="22">
        <v>263</v>
      </c>
    </row>
    <row r="11" spans="2:7" ht="15" thickBot="1">
      <c r="B11" t="s">
        <v>141</v>
      </c>
    </row>
    <row r="12" spans="2:7">
      <c r="B12" s="23"/>
      <c r="C12" s="23" t="s">
        <v>146</v>
      </c>
      <c r="D12" s="23" t="s">
        <v>147</v>
      </c>
      <c r="E12" s="23" t="s">
        <v>148</v>
      </c>
      <c r="F12" s="23" t="s">
        <v>149</v>
      </c>
      <c r="G12" s="23" t="s">
        <v>150</v>
      </c>
    </row>
    <row r="13" spans="2:7">
      <c r="B13" t="s">
        <v>142</v>
      </c>
      <c r="C13">
        <v>6</v>
      </c>
      <c r="D13">
        <v>28729.570233035673</v>
      </c>
      <c r="E13">
        <v>4788.2617055059454</v>
      </c>
      <c r="F13">
        <v>17.316973336243954</v>
      </c>
      <c r="G13">
        <v>8.3969183891191013E-17</v>
      </c>
    </row>
    <row r="14" spans="2:7">
      <c r="B14" t="s">
        <v>143</v>
      </c>
      <c r="C14">
        <v>256</v>
      </c>
      <c r="D14">
        <v>70785.752960880665</v>
      </c>
      <c r="E14">
        <v>276.5068475034401</v>
      </c>
    </row>
    <row r="15" spans="2:7" ht="15" thickBot="1">
      <c r="B15" s="22" t="s">
        <v>144</v>
      </c>
      <c r="C15" s="22">
        <v>262</v>
      </c>
      <c r="D15" s="22">
        <v>99515.323193916338</v>
      </c>
      <c r="E15" s="22"/>
      <c r="F15" s="22"/>
      <c r="G15" s="22"/>
    </row>
    <row r="16" spans="2:7" ht="15" thickBot="1"/>
    <row r="17" spans="2:13">
      <c r="B17" s="23"/>
      <c r="C17" s="23" t="s">
        <v>151</v>
      </c>
      <c r="D17" s="23" t="s">
        <v>139</v>
      </c>
      <c r="E17" s="23" t="s">
        <v>152</v>
      </c>
      <c r="F17" s="23" t="s">
        <v>153</v>
      </c>
      <c r="G17" s="23" t="s">
        <v>154</v>
      </c>
      <c r="H17" s="23" t="s">
        <v>155</v>
      </c>
      <c r="I17" s="23" t="s">
        <v>156</v>
      </c>
      <c r="J17" s="23" t="s">
        <v>157</v>
      </c>
    </row>
    <row r="18" spans="2:13">
      <c r="B18" t="s">
        <v>145</v>
      </c>
      <c r="C18">
        <v>19.099732066915259</v>
      </c>
      <c r="D18">
        <v>2.4760239604665193</v>
      </c>
      <c r="E18">
        <v>7.7138720674240115</v>
      </c>
      <c r="F18">
        <v>2.72135232064626E-13</v>
      </c>
      <c r="G18">
        <v>14.223762731406683</v>
      </c>
      <c r="H18">
        <v>23.975701402423834</v>
      </c>
      <c r="I18">
        <v>14.223762731406683</v>
      </c>
      <c r="J18">
        <v>23.975701402423834</v>
      </c>
    </row>
    <row r="19" spans="2:13">
      <c r="B19" t="s">
        <v>15</v>
      </c>
      <c r="C19">
        <v>7.9662653398976593</v>
      </c>
      <c r="D19">
        <v>2.4586903621756449</v>
      </c>
      <c r="E19">
        <v>3.2400441562102493</v>
      </c>
      <c r="F19">
        <v>1.3533232928245671E-3</v>
      </c>
      <c r="G19">
        <v>3.1244306069170831</v>
      </c>
      <c r="H19">
        <v>12.808100072878236</v>
      </c>
      <c r="I19">
        <v>3.1244306069170831</v>
      </c>
      <c r="J19">
        <v>12.808100072878236</v>
      </c>
    </row>
    <row r="20" spans="2:13">
      <c r="B20" t="s">
        <v>27</v>
      </c>
      <c r="C20">
        <v>-4.5521231924024592</v>
      </c>
      <c r="D20">
        <v>3.6471066411849264</v>
      </c>
      <c r="E20">
        <v>-1.2481464460067166</v>
      </c>
      <c r="F20">
        <v>0.21311779277082751</v>
      </c>
      <c r="G20">
        <v>-11.734275073677779</v>
      </c>
      <c r="H20">
        <v>2.6300286888728595</v>
      </c>
      <c r="I20">
        <v>-11.734275073677779</v>
      </c>
      <c r="J20">
        <v>2.6300286888728595</v>
      </c>
    </row>
    <row r="21" spans="2:13">
      <c r="B21" t="s">
        <v>132</v>
      </c>
      <c r="C21">
        <v>3.4457447542821971</v>
      </c>
      <c r="D21">
        <v>3.432482585022492</v>
      </c>
      <c r="E21">
        <v>1.0038637251409734</v>
      </c>
      <c r="F21">
        <v>0.31639221680572399</v>
      </c>
      <c r="G21">
        <v>-3.3137535771004449</v>
      </c>
      <c r="H21">
        <v>10.20524308566484</v>
      </c>
      <c r="I21">
        <v>-3.3137535771004449</v>
      </c>
      <c r="J21">
        <v>10.20524308566484</v>
      </c>
    </row>
    <row r="22" spans="2:13">
      <c r="B22" t="s">
        <v>133</v>
      </c>
      <c r="C22">
        <v>0.94860255993468667</v>
      </c>
      <c r="D22">
        <v>2.2053751670295272</v>
      </c>
      <c r="E22">
        <v>0.43013205830751339</v>
      </c>
      <c r="F22">
        <v>0.66746144213791969</v>
      </c>
      <c r="G22">
        <v>-3.3943851733916053</v>
      </c>
      <c r="H22">
        <v>5.2915902932609784</v>
      </c>
      <c r="I22">
        <v>-3.3943851733916053</v>
      </c>
      <c r="J22">
        <v>5.2915902932609784</v>
      </c>
    </row>
    <row r="23" spans="2:13">
      <c r="B23" t="s">
        <v>5</v>
      </c>
      <c r="C23">
        <v>-11.302353491957602</v>
      </c>
      <c r="D23">
        <v>2.38757405393461</v>
      </c>
      <c r="E23">
        <v>-4.7338232183131046</v>
      </c>
      <c r="F23">
        <v>3.6500103295711385E-6</v>
      </c>
      <c r="G23">
        <v>-16.004140735990404</v>
      </c>
      <c r="H23">
        <v>-6.6005662479248013</v>
      </c>
      <c r="I23">
        <v>-16.004140735990404</v>
      </c>
      <c r="J23">
        <v>-6.6005662479248013</v>
      </c>
    </row>
    <row r="24" spans="2:13" ht="15" thickBot="1">
      <c r="B24" s="22" t="s">
        <v>7</v>
      </c>
      <c r="C24" s="22">
        <v>9.1652520074742885</v>
      </c>
      <c r="D24" s="22">
        <v>2.537114834217002</v>
      </c>
      <c r="E24" s="22">
        <v>3.6124703083464671</v>
      </c>
      <c r="F24" s="22">
        <v>3.6497598392238532E-4</v>
      </c>
      <c r="G24" s="22">
        <v>4.1689780093926361</v>
      </c>
      <c r="H24" s="22">
        <v>14.161526005555942</v>
      </c>
      <c r="I24" s="22">
        <v>4.1689780093926361</v>
      </c>
      <c r="J24" s="22">
        <v>14.161526005555942</v>
      </c>
    </row>
    <row r="27" spans="2:13" ht="14.4" customHeight="1">
      <c r="B27" s="27" t="s">
        <v>173</v>
      </c>
      <c r="C27" s="27"/>
      <c r="D27" s="27"/>
      <c r="E27" s="27"/>
      <c r="F27" s="27"/>
      <c r="G27" s="27"/>
      <c r="H27" s="27"/>
      <c r="I27" s="27"/>
      <c r="J27" s="27"/>
      <c r="K27" s="27"/>
      <c r="L27" s="27"/>
      <c r="M27" s="27"/>
    </row>
    <row r="28" spans="2:13">
      <c r="B28" s="27"/>
      <c r="C28" s="27"/>
      <c r="D28" s="27"/>
      <c r="E28" s="27"/>
      <c r="F28" s="27"/>
      <c r="G28" s="27"/>
      <c r="H28" s="27"/>
      <c r="I28" s="27"/>
      <c r="J28" s="27"/>
      <c r="K28" s="27"/>
      <c r="L28" s="27"/>
      <c r="M28" s="27"/>
    </row>
    <row r="29" spans="2:13">
      <c r="B29" s="27"/>
      <c r="C29" s="27"/>
      <c r="D29" s="27"/>
      <c r="E29" s="27"/>
      <c r="F29" s="27"/>
      <c r="G29" s="27"/>
      <c r="H29" s="27"/>
      <c r="I29" s="27"/>
      <c r="J29" s="27"/>
      <c r="K29" s="27"/>
      <c r="L29" s="27"/>
      <c r="M29" s="27"/>
    </row>
    <row r="30" spans="2:13">
      <c r="B30" s="27"/>
      <c r="C30" s="27"/>
      <c r="D30" s="27"/>
      <c r="E30" s="27"/>
      <c r="F30" s="27"/>
      <c r="G30" s="27"/>
      <c r="H30" s="27"/>
      <c r="I30" s="27"/>
      <c r="J30" s="27"/>
      <c r="K30" s="27"/>
      <c r="L30" s="27"/>
      <c r="M30" s="27"/>
    </row>
    <row r="31" spans="2:13">
      <c r="B31" s="27"/>
      <c r="C31" s="27"/>
      <c r="D31" s="27"/>
      <c r="E31" s="27"/>
      <c r="F31" s="27"/>
      <c r="G31" s="27"/>
      <c r="H31" s="27"/>
      <c r="I31" s="27"/>
      <c r="J31" s="27"/>
      <c r="K31" s="27"/>
      <c r="L31" s="27"/>
      <c r="M31" s="27"/>
    </row>
    <row r="32" spans="2:13">
      <c r="B32" s="27"/>
      <c r="C32" s="27"/>
      <c r="D32" s="27"/>
      <c r="E32" s="27"/>
      <c r="F32" s="27"/>
      <c r="G32" s="27"/>
      <c r="H32" s="27"/>
      <c r="I32" s="27"/>
      <c r="J32" s="27"/>
      <c r="K32" s="27"/>
      <c r="L32" s="27"/>
      <c r="M32" s="27"/>
    </row>
    <row r="33" spans="2:13">
      <c r="B33" s="27"/>
      <c r="C33" s="27"/>
      <c r="D33" s="27"/>
      <c r="E33" s="27"/>
      <c r="F33" s="27"/>
      <c r="G33" s="27"/>
      <c r="H33" s="27"/>
      <c r="I33" s="27"/>
      <c r="J33" s="27"/>
      <c r="K33" s="27"/>
      <c r="L33" s="27"/>
      <c r="M33" s="27"/>
    </row>
    <row r="34" spans="2:13">
      <c r="B34" s="27"/>
      <c r="C34" s="27"/>
      <c r="D34" s="27"/>
      <c r="E34" s="27"/>
      <c r="F34" s="27"/>
      <c r="G34" s="27"/>
      <c r="H34" s="27"/>
      <c r="I34" s="27"/>
      <c r="J34" s="27"/>
      <c r="K34" s="27"/>
      <c r="L34" s="27"/>
      <c r="M34" s="27"/>
    </row>
    <row r="35" spans="2:13">
      <c r="B35" s="27"/>
      <c r="C35" s="27"/>
      <c r="D35" s="27"/>
      <c r="E35" s="27"/>
      <c r="F35" s="27"/>
      <c r="G35" s="27"/>
      <c r="H35" s="27"/>
      <c r="I35" s="27"/>
      <c r="J35" s="27"/>
      <c r="K35" s="27"/>
      <c r="L35" s="27"/>
      <c r="M35" s="27"/>
    </row>
    <row r="36" spans="2:13">
      <c r="B36" s="27"/>
      <c r="C36" s="27"/>
      <c r="D36" s="27"/>
      <c r="E36" s="27"/>
      <c r="F36" s="27"/>
      <c r="G36" s="27"/>
      <c r="H36" s="27"/>
      <c r="I36" s="27"/>
      <c r="J36" s="27"/>
      <c r="K36" s="27"/>
      <c r="L36" s="27"/>
      <c r="M36" s="27"/>
    </row>
    <row r="37" spans="2:13">
      <c r="B37" s="27"/>
      <c r="C37" s="27"/>
      <c r="D37" s="27"/>
      <c r="E37" s="27"/>
      <c r="F37" s="27"/>
      <c r="G37" s="27"/>
      <c r="H37" s="27"/>
      <c r="I37" s="27"/>
      <c r="J37" s="27"/>
      <c r="K37" s="27"/>
      <c r="L37" s="27"/>
      <c r="M37" s="27"/>
    </row>
    <row r="38" spans="2:13">
      <c r="B38" s="27"/>
      <c r="C38" s="27"/>
      <c r="D38" s="27"/>
      <c r="E38" s="27"/>
      <c r="F38" s="27"/>
      <c r="G38" s="27"/>
      <c r="H38" s="27"/>
      <c r="I38" s="27"/>
      <c r="J38" s="27"/>
      <c r="K38" s="27"/>
      <c r="L38" s="27"/>
      <c r="M38" s="27"/>
    </row>
    <row r="39" spans="2:13">
      <c r="B39" s="27"/>
      <c r="C39" s="27"/>
      <c r="D39" s="27"/>
      <c r="E39" s="27"/>
      <c r="F39" s="27"/>
      <c r="G39" s="27"/>
      <c r="H39" s="27"/>
      <c r="I39" s="27"/>
      <c r="J39" s="27"/>
      <c r="K39" s="27"/>
      <c r="L39" s="27"/>
      <c r="M39" s="27"/>
    </row>
    <row r="40" spans="2:13">
      <c r="B40" s="27"/>
      <c r="C40" s="27"/>
      <c r="D40" s="27"/>
      <c r="E40" s="27"/>
      <c r="F40" s="27"/>
      <c r="G40" s="27"/>
      <c r="H40" s="27"/>
      <c r="I40" s="27"/>
      <c r="J40" s="27"/>
      <c r="K40" s="27"/>
      <c r="L40" s="27"/>
      <c r="M40" s="27"/>
    </row>
    <row r="41" spans="2:13">
      <c r="B41" s="27"/>
      <c r="C41" s="27"/>
      <c r="D41" s="27"/>
      <c r="E41" s="27"/>
      <c r="F41" s="27"/>
      <c r="G41" s="27"/>
      <c r="H41" s="27"/>
      <c r="I41" s="27"/>
      <c r="J41" s="27"/>
      <c r="K41" s="27"/>
      <c r="L41" s="27"/>
      <c r="M41" s="27"/>
    </row>
    <row r="42" spans="2:13">
      <c r="B42" s="27"/>
      <c r="C42" s="27"/>
      <c r="D42" s="27"/>
      <c r="E42" s="27"/>
      <c r="F42" s="27"/>
      <c r="G42" s="27"/>
      <c r="H42" s="27"/>
      <c r="I42" s="27"/>
      <c r="J42" s="27"/>
      <c r="K42" s="27"/>
      <c r="L42" s="27"/>
      <c r="M42" s="27"/>
    </row>
    <row r="43" spans="2:13">
      <c r="B43" s="27"/>
      <c r="C43" s="27"/>
      <c r="D43" s="27"/>
      <c r="E43" s="27"/>
      <c r="F43" s="27"/>
      <c r="G43" s="27"/>
      <c r="H43" s="27"/>
      <c r="I43" s="27"/>
      <c r="J43" s="27"/>
      <c r="K43" s="27"/>
      <c r="L43" s="27"/>
      <c r="M43" s="27"/>
    </row>
    <row r="44" spans="2:13">
      <c r="B44" s="27"/>
      <c r="C44" s="27"/>
      <c r="D44" s="27"/>
      <c r="E44" s="27"/>
      <c r="F44" s="27"/>
      <c r="G44" s="27"/>
      <c r="H44" s="27"/>
      <c r="I44" s="27"/>
      <c r="J44" s="27"/>
      <c r="K44" s="27"/>
      <c r="L44" s="27"/>
      <c r="M44" s="27"/>
    </row>
    <row r="45" spans="2:13">
      <c r="B45" s="27"/>
      <c r="C45" s="27"/>
      <c r="D45" s="27"/>
      <c r="E45" s="27"/>
      <c r="F45" s="27"/>
      <c r="G45" s="27"/>
      <c r="H45" s="27"/>
      <c r="I45" s="27"/>
      <c r="J45" s="27"/>
      <c r="K45" s="27"/>
      <c r="L45" s="27"/>
      <c r="M45" s="27"/>
    </row>
    <row r="46" spans="2:13">
      <c r="B46" s="27"/>
      <c r="C46" s="27"/>
      <c r="D46" s="27"/>
      <c r="E46" s="27"/>
      <c r="F46" s="27"/>
      <c r="G46" s="27"/>
      <c r="H46" s="27"/>
      <c r="I46" s="27"/>
      <c r="J46" s="27"/>
      <c r="K46" s="27"/>
      <c r="L46" s="27"/>
      <c r="M46" s="27"/>
    </row>
    <row r="47" spans="2:13">
      <c r="B47" s="27"/>
      <c r="C47" s="27"/>
      <c r="D47" s="27"/>
      <c r="E47" s="27"/>
      <c r="F47" s="27"/>
      <c r="G47" s="27"/>
      <c r="H47" s="27"/>
      <c r="I47" s="27"/>
      <c r="J47" s="27"/>
      <c r="K47" s="27"/>
      <c r="L47" s="27"/>
      <c r="M47" s="27"/>
    </row>
    <row r="48" spans="2:13">
      <c r="B48" s="27"/>
      <c r="C48" s="27"/>
      <c r="D48" s="27"/>
      <c r="E48" s="27"/>
      <c r="F48" s="27"/>
      <c r="G48" s="27"/>
      <c r="H48" s="27"/>
      <c r="I48" s="27"/>
      <c r="J48" s="27"/>
      <c r="K48" s="27"/>
      <c r="L48" s="27"/>
      <c r="M48" s="27"/>
    </row>
    <row r="49" spans="2:13">
      <c r="B49" s="27"/>
      <c r="C49" s="27"/>
      <c r="D49" s="27"/>
      <c r="E49" s="27"/>
      <c r="F49" s="27"/>
      <c r="G49" s="27"/>
      <c r="H49" s="27"/>
      <c r="I49" s="27"/>
      <c r="J49" s="27"/>
      <c r="K49" s="27"/>
      <c r="L49" s="27"/>
      <c r="M49" s="27"/>
    </row>
    <row r="50" spans="2:13">
      <c r="B50" s="27"/>
      <c r="C50" s="27"/>
      <c r="D50" s="27"/>
      <c r="E50" s="27"/>
      <c r="F50" s="27"/>
      <c r="G50" s="27"/>
      <c r="H50" s="27"/>
      <c r="I50" s="27"/>
      <c r="J50" s="27"/>
      <c r="K50" s="27"/>
      <c r="L50" s="27"/>
      <c r="M50" s="27"/>
    </row>
    <row r="51" spans="2:13">
      <c r="B51" s="27"/>
      <c r="C51" s="27"/>
      <c r="D51" s="27"/>
      <c r="E51" s="27"/>
      <c r="F51" s="27"/>
      <c r="G51" s="27"/>
      <c r="H51" s="27"/>
      <c r="I51" s="27"/>
      <c r="J51" s="27"/>
      <c r="K51" s="27"/>
      <c r="L51" s="27"/>
      <c r="M51" s="27"/>
    </row>
    <row r="52" spans="2:13">
      <c r="B52" s="27"/>
      <c r="C52" s="27"/>
      <c r="D52" s="27"/>
      <c r="E52" s="27"/>
      <c r="F52" s="27"/>
      <c r="G52" s="27"/>
      <c r="H52" s="27"/>
      <c r="I52" s="27"/>
      <c r="J52" s="27"/>
      <c r="K52" s="27"/>
      <c r="L52" s="27"/>
      <c r="M52" s="27"/>
    </row>
    <row r="53" spans="2:13">
      <c r="B53" s="27"/>
      <c r="C53" s="27"/>
      <c r="D53" s="27"/>
      <c r="E53" s="27"/>
      <c r="F53" s="27"/>
      <c r="G53" s="27"/>
      <c r="H53" s="27"/>
      <c r="I53" s="27"/>
      <c r="J53" s="27"/>
      <c r="K53" s="27"/>
      <c r="L53" s="27"/>
      <c r="M53" s="27"/>
    </row>
    <row r="54" spans="2:13">
      <c r="B54" s="27"/>
      <c r="C54" s="27"/>
      <c r="D54" s="27"/>
      <c r="E54" s="27"/>
      <c r="F54" s="27"/>
      <c r="G54" s="27"/>
      <c r="H54" s="27"/>
      <c r="I54" s="27"/>
      <c r="J54" s="27"/>
      <c r="K54" s="27"/>
      <c r="L54" s="27"/>
      <c r="M54" s="27"/>
    </row>
  </sheetData>
  <mergeCells count="1">
    <mergeCell ref="B27:M54"/>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252F8-EEEF-45FD-8D79-352AA6A7A681}">
  <sheetPr>
    <tabColor theme="9" tint="0.59999389629810485"/>
  </sheetPr>
  <dimension ref="B2:H135"/>
  <sheetViews>
    <sheetView showGridLines="0" topLeftCell="A10" workbookViewId="0">
      <selection activeCell="B9" sqref="B9:H99"/>
    </sheetView>
  </sheetViews>
  <sheetFormatPr defaultRowHeight="14.4"/>
  <cols>
    <col min="2" max="2" width="22.21875" bestFit="1" customWidth="1"/>
    <col min="3" max="3" width="39.109375" customWidth="1"/>
    <col min="4" max="4" width="58.5546875" bestFit="1" customWidth="1"/>
  </cols>
  <sheetData>
    <row r="2" spans="2:8">
      <c r="B2" s="3" t="s">
        <v>158</v>
      </c>
      <c r="C2" s="4" t="s">
        <v>163</v>
      </c>
      <c r="D2" s="9" t="s">
        <v>168</v>
      </c>
    </row>
    <row r="3" spans="2:8">
      <c r="B3" s="5" t="s">
        <v>159</v>
      </c>
      <c r="C3" s="6" t="s">
        <v>165</v>
      </c>
      <c r="D3" s="9" t="s">
        <v>169</v>
      </c>
    </row>
    <row r="4" spans="2:8">
      <c r="B4" s="5" t="s">
        <v>161</v>
      </c>
      <c r="C4" s="6" t="s">
        <v>166</v>
      </c>
      <c r="D4" s="9" t="s">
        <v>170</v>
      </c>
    </row>
    <row r="5" spans="2:8">
      <c r="B5" s="5" t="s">
        <v>160</v>
      </c>
      <c r="C5" s="6" t="s">
        <v>164</v>
      </c>
      <c r="D5" s="9" t="s">
        <v>172</v>
      </c>
    </row>
    <row r="6" spans="2:8">
      <c r="B6" s="7" t="s">
        <v>162</v>
      </c>
      <c r="C6" s="8" t="s">
        <v>166</v>
      </c>
      <c r="D6" s="9" t="s">
        <v>171</v>
      </c>
    </row>
    <row r="9" spans="2:8">
      <c r="B9" s="27" t="s">
        <v>167</v>
      </c>
      <c r="C9" s="30"/>
      <c r="D9" s="30"/>
      <c r="E9" s="30"/>
      <c r="F9" s="30"/>
      <c r="G9" s="30"/>
      <c r="H9" s="30"/>
    </row>
    <row r="10" spans="2:8">
      <c r="B10" s="30"/>
      <c r="C10" s="30"/>
      <c r="D10" s="30"/>
      <c r="E10" s="30"/>
      <c r="F10" s="30"/>
      <c r="G10" s="30"/>
      <c r="H10" s="30"/>
    </row>
    <row r="11" spans="2:8">
      <c r="B11" s="30"/>
      <c r="C11" s="30"/>
      <c r="D11" s="30"/>
      <c r="E11" s="30"/>
      <c r="F11" s="30"/>
      <c r="G11" s="30"/>
      <c r="H11" s="30"/>
    </row>
    <row r="12" spans="2:8">
      <c r="B12" s="30"/>
      <c r="C12" s="30"/>
      <c r="D12" s="30"/>
      <c r="E12" s="30"/>
      <c r="F12" s="30"/>
      <c r="G12" s="30"/>
      <c r="H12" s="30"/>
    </row>
    <row r="13" spans="2:8">
      <c r="B13" s="30"/>
      <c r="C13" s="30"/>
      <c r="D13" s="30"/>
      <c r="E13" s="30"/>
      <c r="F13" s="30"/>
      <c r="G13" s="30"/>
      <c r="H13" s="30"/>
    </row>
    <row r="14" spans="2:8">
      <c r="B14" s="30"/>
      <c r="C14" s="30"/>
      <c r="D14" s="30"/>
      <c r="E14" s="30"/>
      <c r="F14" s="30"/>
      <c r="G14" s="30"/>
      <c r="H14" s="30"/>
    </row>
    <row r="15" spans="2:8">
      <c r="B15" s="30"/>
      <c r="C15" s="30"/>
      <c r="D15" s="30"/>
      <c r="E15" s="30"/>
      <c r="F15" s="30"/>
      <c r="G15" s="30"/>
      <c r="H15" s="30"/>
    </row>
    <row r="16" spans="2:8">
      <c r="B16" s="30"/>
      <c r="C16" s="30"/>
      <c r="D16" s="30"/>
      <c r="E16" s="30"/>
      <c r="F16" s="30"/>
      <c r="G16" s="30"/>
      <c r="H16" s="30"/>
    </row>
    <row r="17" spans="2:8">
      <c r="B17" s="30"/>
      <c r="C17" s="30"/>
      <c r="D17" s="30"/>
      <c r="E17" s="30"/>
      <c r="F17" s="30"/>
      <c r="G17" s="30"/>
      <c r="H17" s="30"/>
    </row>
    <row r="18" spans="2:8">
      <c r="B18" s="30"/>
      <c r="C18" s="30"/>
      <c r="D18" s="30"/>
      <c r="E18" s="30"/>
      <c r="F18" s="30"/>
      <c r="G18" s="30"/>
      <c r="H18" s="30"/>
    </row>
    <row r="19" spans="2:8">
      <c r="B19" s="30"/>
      <c r="C19" s="30"/>
      <c r="D19" s="30"/>
      <c r="E19" s="30"/>
      <c r="F19" s="30"/>
      <c r="G19" s="30"/>
      <c r="H19" s="30"/>
    </row>
    <row r="20" spans="2:8">
      <c r="B20" s="30"/>
      <c r="C20" s="30"/>
      <c r="D20" s="30"/>
      <c r="E20" s="30"/>
      <c r="F20" s="30"/>
      <c r="G20" s="30"/>
      <c r="H20" s="30"/>
    </row>
    <row r="21" spans="2:8">
      <c r="B21" s="30"/>
      <c r="C21" s="30"/>
      <c r="D21" s="30"/>
      <c r="E21" s="30"/>
      <c r="F21" s="30"/>
      <c r="G21" s="30"/>
      <c r="H21" s="30"/>
    </row>
    <row r="22" spans="2:8">
      <c r="B22" s="30"/>
      <c r="C22" s="30"/>
      <c r="D22" s="30"/>
      <c r="E22" s="30"/>
      <c r="F22" s="30"/>
      <c r="G22" s="30"/>
      <c r="H22" s="30"/>
    </row>
    <row r="23" spans="2:8">
      <c r="B23" s="30"/>
      <c r="C23" s="30"/>
      <c r="D23" s="30"/>
      <c r="E23" s="30"/>
      <c r="F23" s="30"/>
      <c r="G23" s="30"/>
      <c r="H23" s="30"/>
    </row>
    <row r="24" spans="2:8">
      <c r="B24" s="30"/>
      <c r="C24" s="30"/>
      <c r="D24" s="30"/>
      <c r="E24" s="30"/>
      <c r="F24" s="30"/>
      <c r="G24" s="30"/>
      <c r="H24" s="30"/>
    </row>
    <row r="25" spans="2:8">
      <c r="B25" s="30"/>
      <c r="C25" s="30"/>
      <c r="D25" s="30"/>
      <c r="E25" s="30"/>
      <c r="F25" s="30"/>
      <c r="G25" s="30"/>
      <c r="H25" s="30"/>
    </row>
    <row r="26" spans="2:8">
      <c r="B26" s="30"/>
      <c r="C26" s="30"/>
      <c r="D26" s="30"/>
      <c r="E26" s="30"/>
      <c r="F26" s="30"/>
      <c r="G26" s="30"/>
      <c r="H26" s="30"/>
    </row>
    <row r="27" spans="2:8">
      <c r="B27" s="30"/>
      <c r="C27" s="30"/>
      <c r="D27" s="30"/>
      <c r="E27" s="30"/>
      <c r="F27" s="30"/>
      <c r="G27" s="30"/>
      <c r="H27" s="30"/>
    </row>
    <row r="28" spans="2:8">
      <c r="B28" s="30"/>
      <c r="C28" s="30"/>
      <c r="D28" s="30"/>
      <c r="E28" s="30"/>
      <c r="F28" s="30"/>
      <c r="G28" s="30"/>
      <c r="H28" s="30"/>
    </row>
    <row r="29" spans="2:8">
      <c r="B29" s="30"/>
      <c r="C29" s="30"/>
      <c r="D29" s="30"/>
      <c r="E29" s="30"/>
      <c r="F29" s="30"/>
      <c r="G29" s="30"/>
      <c r="H29" s="30"/>
    </row>
    <row r="30" spans="2:8">
      <c r="B30" s="30"/>
      <c r="C30" s="30"/>
      <c r="D30" s="30"/>
      <c r="E30" s="30"/>
      <c r="F30" s="30"/>
      <c r="G30" s="30"/>
      <c r="H30" s="30"/>
    </row>
    <row r="31" spans="2:8">
      <c r="B31" s="30"/>
      <c r="C31" s="30"/>
      <c r="D31" s="30"/>
      <c r="E31" s="30"/>
      <c r="F31" s="30"/>
      <c r="G31" s="30"/>
      <c r="H31" s="30"/>
    </row>
    <row r="32" spans="2:8">
      <c r="B32" s="30"/>
      <c r="C32" s="30"/>
      <c r="D32" s="30"/>
      <c r="E32" s="30"/>
      <c r="F32" s="30"/>
      <c r="G32" s="30"/>
      <c r="H32" s="30"/>
    </row>
    <row r="33" spans="2:8">
      <c r="B33" s="30"/>
      <c r="C33" s="30"/>
      <c r="D33" s="30"/>
      <c r="E33" s="30"/>
      <c r="F33" s="30"/>
      <c r="G33" s="30"/>
      <c r="H33" s="30"/>
    </row>
    <row r="34" spans="2:8">
      <c r="B34" s="30"/>
      <c r="C34" s="30"/>
      <c r="D34" s="30"/>
      <c r="E34" s="30"/>
      <c r="F34" s="30"/>
      <c r="G34" s="30"/>
      <c r="H34" s="30"/>
    </row>
    <row r="35" spans="2:8">
      <c r="B35" s="30"/>
      <c r="C35" s="30"/>
      <c r="D35" s="30"/>
      <c r="E35" s="30"/>
      <c r="F35" s="30"/>
      <c r="G35" s="30"/>
      <c r="H35" s="30"/>
    </row>
    <row r="36" spans="2:8">
      <c r="B36" s="30"/>
      <c r="C36" s="30"/>
      <c r="D36" s="30"/>
      <c r="E36" s="30"/>
      <c r="F36" s="30"/>
      <c r="G36" s="30"/>
      <c r="H36" s="30"/>
    </row>
    <row r="37" spans="2:8">
      <c r="B37" s="30"/>
      <c r="C37" s="30"/>
      <c r="D37" s="30"/>
      <c r="E37" s="30"/>
      <c r="F37" s="30"/>
      <c r="G37" s="30"/>
      <c r="H37" s="30"/>
    </row>
    <row r="38" spans="2:8">
      <c r="B38" s="30"/>
      <c r="C38" s="30"/>
      <c r="D38" s="30"/>
      <c r="E38" s="30"/>
      <c r="F38" s="30"/>
      <c r="G38" s="30"/>
      <c r="H38" s="30"/>
    </row>
    <row r="39" spans="2:8">
      <c r="B39" s="30"/>
      <c r="C39" s="30"/>
      <c r="D39" s="30"/>
      <c r="E39" s="30"/>
      <c r="F39" s="30"/>
      <c r="G39" s="30"/>
      <c r="H39" s="30"/>
    </row>
    <row r="40" spans="2:8">
      <c r="B40" s="30"/>
      <c r="C40" s="30"/>
      <c r="D40" s="30"/>
      <c r="E40" s="30"/>
      <c r="F40" s="30"/>
      <c r="G40" s="30"/>
      <c r="H40" s="30"/>
    </row>
    <row r="41" spans="2:8">
      <c r="B41" s="30"/>
      <c r="C41" s="30"/>
      <c r="D41" s="30"/>
      <c r="E41" s="30"/>
      <c r="F41" s="30"/>
      <c r="G41" s="30"/>
      <c r="H41" s="30"/>
    </row>
    <row r="42" spans="2:8">
      <c r="B42" s="30"/>
      <c r="C42" s="30"/>
      <c r="D42" s="30"/>
      <c r="E42" s="30"/>
      <c r="F42" s="30"/>
      <c r="G42" s="30"/>
      <c r="H42" s="30"/>
    </row>
    <row r="43" spans="2:8">
      <c r="B43" s="30"/>
      <c r="C43" s="30"/>
      <c r="D43" s="30"/>
      <c r="E43" s="30"/>
      <c r="F43" s="30"/>
      <c r="G43" s="30"/>
      <c r="H43" s="30"/>
    </row>
    <row r="44" spans="2:8">
      <c r="B44" s="30"/>
      <c r="C44" s="30"/>
      <c r="D44" s="30"/>
      <c r="E44" s="30"/>
      <c r="F44" s="30"/>
      <c r="G44" s="30"/>
      <c r="H44" s="30"/>
    </row>
    <row r="45" spans="2:8">
      <c r="B45" s="30"/>
      <c r="C45" s="30"/>
      <c r="D45" s="30"/>
      <c r="E45" s="30"/>
      <c r="F45" s="30"/>
      <c r="G45" s="30"/>
      <c r="H45" s="30"/>
    </row>
    <row r="46" spans="2:8">
      <c r="B46" s="30"/>
      <c r="C46" s="30"/>
      <c r="D46" s="30"/>
      <c r="E46" s="30"/>
      <c r="F46" s="30"/>
      <c r="G46" s="30"/>
      <c r="H46" s="30"/>
    </row>
    <row r="47" spans="2:8">
      <c r="B47" s="30"/>
      <c r="C47" s="30"/>
      <c r="D47" s="30"/>
      <c r="E47" s="30"/>
      <c r="F47" s="30"/>
      <c r="G47" s="30"/>
      <c r="H47" s="30"/>
    </row>
    <row r="48" spans="2:8">
      <c r="B48" s="30"/>
      <c r="C48" s="30"/>
      <c r="D48" s="30"/>
      <c r="E48" s="30"/>
      <c r="F48" s="30"/>
      <c r="G48" s="30"/>
      <c r="H48" s="30"/>
    </row>
    <row r="49" spans="2:8">
      <c r="B49" s="30"/>
      <c r="C49" s="30"/>
      <c r="D49" s="30"/>
      <c r="E49" s="30"/>
      <c r="F49" s="30"/>
      <c r="G49" s="30"/>
      <c r="H49" s="30"/>
    </row>
    <row r="50" spans="2:8">
      <c r="B50" s="30"/>
      <c r="C50" s="30"/>
      <c r="D50" s="30"/>
      <c r="E50" s="30"/>
      <c r="F50" s="30"/>
      <c r="G50" s="30"/>
      <c r="H50" s="30"/>
    </row>
    <row r="51" spans="2:8">
      <c r="B51" s="30"/>
      <c r="C51" s="30"/>
      <c r="D51" s="30"/>
      <c r="E51" s="30"/>
      <c r="F51" s="30"/>
      <c r="G51" s="30"/>
      <c r="H51" s="30"/>
    </row>
    <row r="52" spans="2:8">
      <c r="B52" s="30"/>
      <c r="C52" s="30"/>
      <c r="D52" s="30"/>
      <c r="E52" s="30"/>
      <c r="F52" s="30"/>
      <c r="G52" s="30"/>
      <c r="H52" s="30"/>
    </row>
    <row r="53" spans="2:8">
      <c r="B53" s="30"/>
      <c r="C53" s="30"/>
      <c r="D53" s="30"/>
      <c r="E53" s="30"/>
      <c r="F53" s="30"/>
      <c r="G53" s="30"/>
      <c r="H53" s="30"/>
    </row>
    <row r="54" spans="2:8">
      <c r="B54" s="30"/>
      <c r="C54" s="30"/>
      <c r="D54" s="30"/>
      <c r="E54" s="30"/>
      <c r="F54" s="30"/>
      <c r="G54" s="30"/>
      <c r="H54" s="30"/>
    </row>
    <row r="55" spans="2:8">
      <c r="B55" s="30"/>
      <c r="C55" s="30"/>
      <c r="D55" s="30"/>
      <c r="E55" s="30"/>
      <c r="F55" s="30"/>
      <c r="G55" s="30"/>
      <c r="H55" s="30"/>
    </row>
    <row r="56" spans="2:8">
      <c r="B56" s="30"/>
      <c r="C56" s="30"/>
      <c r="D56" s="30"/>
      <c r="E56" s="30"/>
      <c r="F56" s="30"/>
      <c r="G56" s="30"/>
      <c r="H56" s="30"/>
    </row>
    <row r="57" spans="2:8">
      <c r="B57" s="30"/>
      <c r="C57" s="30"/>
      <c r="D57" s="30"/>
      <c r="E57" s="30"/>
      <c r="F57" s="30"/>
      <c r="G57" s="30"/>
      <c r="H57" s="30"/>
    </row>
    <row r="58" spans="2:8">
      <c r="B58" s="30"/>
      <c r="C58" s="30"/>
      <c r="D58" s="30"/>
      <c r="E58" s="30"/>
      <c r="F58" s="30"/>
      <c r="G58" s="30"/>
      <c r="H58" s="30"/>
    </row>
    <row r="59" spans="2:8">
      <c r="B59" s="30"/>
      <c r="C59" s="30"/>
      <c r="D59" s="30"/>
      <c r="E59" s="30"/>
      <c r="F59" s="30"/>
      <c r="G59" s="30"/>
      <c r="H59" s="30"/>
    </row>
    <row r="60" spans="2:8">
      <c r="B60" s="30"/>
      <c r="C60" s="30"/>
      <c r="D60" s="30"/>
      <c r="E60" s="30"/>
      <c r="F60" s="30"/>
      <c r="G60" s="30"/>
      <c r="H60" s="30"/>
    </row>
    <row r="61" spans="2:8">
      <c r="B61" s="30"/>
      <c r="C61" s="30"/>
      <c r="D61" s="30"/>
      <c r="E61" s="30"/>
      <c r="F61" s="30"/>
      <c r="G61" s="30"/>
      <c r="H61" s="30"/>
    </row>
    <row r="62" spans="2:8">
      <c r="B62" s="30"/>
      <c r="C62" s="30"/>
      <c r="D62" s="30"/>
      <c r="E62" s="30"/>
      <c r="F62" s="30"/>
      <c r="G62" s="30"/>
      <c r="H62" s="30"/>
    </row>
    <row r="63" spans="2:8">
      <c r="B63" s="30"/>
      <c r="C63" s="30"/>
      <c r="D63" s="30"/>
      <c r="E63" s="30"/>
      <c r="F63" s="30"/>
      <c r="G63" s="30"/>
      <c r="H63" s="30"/>
    </row>
    <row r="64" spans="2:8">
      <c r="B64" s="30"/>
      <c r="C64" s="30"/>
      <c r="D64" s="30"/>
      <c r="E64" s="30"/>
      <c r="F64" s="30"/>
      <c r="G64" s="30"/>
      <c r="H64" s="30"/>
    </row>
    <row r="65" spans="2:8">
      <c r="B65" s="30"/>
      <c r="C65" s="30"/>
      <c r="D65" s="30"/>
      <c r="E65" s="30"/>
      <c r="F65" s="30"/>
      <c r="G65" s="30"/>
      <c r="H65" s="30"/>
    </row>
    <row r="66" spans="2:8">
      <c r="B66" s="30"/>
      <c r="C66" s="30"/>
      <c r="D66" s="30"/>
      <c r="E66" s="30"/>
      <c r="F66" s="30"/>
      <c r="G66" s="30"/>
      <c r="H66" s="30"/>
    </row>
    <row r="67" spans="2:8">
      <c r="B67" s="30"/>
      <c r="C67" s="30"/>
      <c r="D67" s="30"/>
      <c r="E67" s="30"/>
      <c r="F67" s="30"/>
      <c r="G67" s="30"/>
      <c r="H67" s="30"/>
    </row>
    <row r="68" spans="2:8">
      <c r="B68" s="30"/>
      <c r="C68" s="30"/>
      <c r="D68" s="30"/>
      <c r="E68" s="30"/>
      <c r="F68" s="30"/>
      <c r="G68" s="30"/>
      <c r="H68" s="30"/>
    </row>
    <row r="69" spans="2:8">
      <c r="B69" s="30"/>
      <c r="C69" s="30"/>
      <c r="D69" s="30"/>
      <c r="E69" s="30"/>
      <c r="F69" s="30"/>
      <c r="G69" s="30"/>
      <c r="H69" s="30"/>
    </row>
    <row r="70" spans="2:8">
      <c r="B70" s="30"/>
      <c r="C70" s="30"/>
      <c r="D70" s="30"/>
      <c r="E70" s="30"/>
      <c r="F70" s="30"/>
      <c r="G70" s="30"/>
      <c r="H70" s="30"/>
    </row>
    <row r="71" spans="2:8">
      <c r="B71" s="30"/>
      <c r="C71" s="30"/>
      <c r="D71" s="30"/>
      <c r="E71" s="30"/>
      <c r="F71" s="30"/>
      <c r="G71" s="30"/>
      <c r="H71" s="30"/>
    </row>
    <row r="72" spans="2:8">
      <c r="B72" s="30"/>
      <c r="C72" s="30"/>
      <c r="D72" s="30"/>
      <c r="E72" s="30"/>
      <c r="F72" s="30"/>
      <c r="G72" s="30"/>
      <c r="H72" s="30"/>
    </row>
    <row r="73" spans="2:8">
      <c r="B73" s="30"/>
      <c r="C73" s="30"/>
      <c r="D73" s="30"/>
      <c r="E73" s="30"/>
      <c r="F73" s="30"/>
      <c r="G73" s="30"/>
      <c r="H73" s="30"/>
    </row>
    <row r="74" spans="2:8">
      <c r="B74" s="30"/>
      <c r="C74" s="30"/>
      <c r="D74" s="30"/>
      <c r="E74" s="30"/>
      <c r="F74" s="30"/>
      <c r="G74" s="30"/>
      <c r="H74" s="30"/>
    </row>
    <row r="75" spans="2:8">
      <c r="B75" s="30"/>
      <c r="C75" s="30"/>
      <c r="D75" s="30"/>
      <c r="E75" s="30"/>
      <c r="F75" s="30"/>
      <c r="G75" s="30"/>
      <c r="H75" s="30"/>
    </row>
    <row r="76" spans="2:8">
      <c r="B76" s="30"/>
      <c r="C76" s="30"/>
      <c r="D76" s="30"/>
      <c r="E76" s="30"/>
      <c r="F76" s="30"/>
      <c r="G76" s="30"/>
      <c r="H76" s="30"/>
    </row>
    <row r="77" spans="2:8">
      <c r="B77" s="30"/>
      <c r="C77" s="30"/>
      <c r="D77" s="30"/>
      <c r="E77" s="30"/>
      <c r="F77" s="30"/>
      <c r="G77" s="30"/>
      <c r="H77" s="30"/>
    </row>
    <row r="78" spans="2:8">
      <c r="B78" s="30"/>
      <c r="C78" s="30"/>
      <c r="D78" s="30"/>
      <c r="E78" s="30"/>
      <c r="F78" s="30"/>
      <c r="G78" s="30"/>
      <c r="H78" s="30"/>
    </row>
    <row r="79" spans="2:8">
      <c r="B79" s="30"/>
      <c r="C79" s="30"/>
      <c r="D79" s="30"/>
      <c r="E79" s="30"/>
      <c r="F79" s="30"/>
      <c r="G79" s="30"/>
      <c r="H79" s="30"/>
    </row>
    <row r="80" spans="2:8">
      <c r="B80" s="30"/>
      <c r="C80" s="30"/>
      <c r="D80" s="30"/>
      <c r="E80" s="30"/>
      <c r="F80" s="30"/>
      <c r="G80" s="30"/>
      <c r="H80" s="30"/>
    </row>
    <row r="81" spans="2:8">
      <c r="B81" s="30"/>
      <c r="C81" s="30"/>
      <c r="D81" s="30"/>
      <c r="E81" s="30"/>
      <c r="F81" s="30"/>
      <c r="G81" s="30"/>
      <c r="H81" s="30"/>
    </row>
    <row r="82" spans="2:8">
      <c r="B82" s="30"/>
      <c r="C82" s="30"/>
      <c r="D82" s="30"/>
      <c r="E82" s="30"/>
      <c r="F82" s="30"/>
      <c r="G82" s="30"/>
      <c r="H82" s="30"/>
    </row>
    <row r="83" spans="2:8">
      <c r="B83" s="30"/>
      <c r="C83" s="30"/>
      <c r="D83" s="30"/>
      <c r="E83" s="30"/>
      <c r="F83" s="30"/>
      <c r="G83" s="30"/>
      <c r="H83" s="30"/>
    </row>
    <row r="84" spans="2:8">
      <c r="B84" s="30"/>
      <c r="C84" s="30"/>
      <c r="D84" s="30"/>
      <c r="E84" s="30"/>
      <c r="F84" s="30"/>
      <c r="G84" s="30"/>
      <c r="H84" s="30"/>
    </row>
    <row r="85" spans="2:8">
      <c r="B85" s="30"/>
      <c r="C85" s="30"/>
      <c r="D85" s="30"/>
      <c r="E85" s="30"/>
      <c r="F85" s="30"/>
      <c r="G85" s="30"/>
      <c r="H85" s="30"/>
    </row>
    <row r="86" spans="2:8">
      <c r="B86" s="30"/>
      <c r="C86" s="30"/>
      <c r="D86" s="30"/>
      <c r="E86" s="30"/>
      <c r="F86" s="30"/>
      <c r="G86" s="30"/>
      <c r="H86" s="30"/>
    </row>
    <row r="87" spans="2:8">
      <c r="B87" s="30"/>
      <c r="C87" s="30"/>
      <c r="D87" s="30"/>
      <c r="E87" s="30"/>
      <c r="F87" s="30"/>
      <c r="G87" s="30"/>
      <c r="H87" s="30"/>
    </row>
    <row r="88" spans="2:8">
      <c r="B88" s="30"/>
      <c r="C88" s="30"/>
      <c r="D88" s="30"/>
      <c r="E88" s="30"/>
      <c r="F88" s="30"/>
      <c r="G88" s="30"/>
      <c r="H88" s="30"/>
    </row>
    <row r="89" spans="2:8">
      <c r="B89" s="30"/>
      <c r="C89" s="30"/>
      <c r="D89" s="30"/>
      <c r="E89" s="30"/>
      <c r="F89" s="30"/>
      <c r="G89" s="30"/>
      <c r="H89" s="30"/>
    </row>
    <row r="90" spans="2:8">
      <c r="B90" s="30"/>
      <c r="C90" s="30"/>
      <c r="D90" s="30"/>
      <c r="E90" s="30"/>
      <c r="F90" s="30"/>
      <c r="G90" s="30"/>
      <c r="H90" s="30"/>
    </row>
    <row r="91" spans="2:8">
      <c r="B91" s="30"/>
      <c r="C91" s="30"/>
      <c r="D91" s="30"/>
      <c r="E91" s="30"/>
      <c r="F91" s="30"/>
      <c r="G91" s="30"/>
      <c r="H91" s="30"/>
    </row>
    <row r="92" spans="2:8">
      <c r="B92" s="30"/>
      <c r="C92" s="30"/>
      <c r="D92" s="30"/>
      <c r="E92" s="30"/>
      <c r="F92" s="30"/>
      <c r="G92" s="30"/>
      <c r="H92" s="30"/>
    </row>
    <row r="93" spans="2:8">
      <c r="B93" s="30"/>
      <c r="C93" s="30"/>
      <c r="D93" s="30"/>
      <c r="E93" s="30"/>
      <c r="F93" s="30"/>
      <c r="G93" s="30"/>
      <c r="H93" s="30"/>
    </row>
    <row r="94" spans="2:8">
      <c r="B94" s="30"/>
      <c r="C94" s="30"/>
      <c r="D94" s="30"/>
      <c r="E94" s="30"/>
      <c r="F94" s="30"/>
      <c r="G94" s="30"/>
      <c r="H94" s="30"/>
    </row>
    <row r="95" spans="2:8">
      <c r="B95" s="30"/>
      <c r="C95" s="30"/>
      <c r="D95" s="30"/>
      <c r="E95" s="30"/>
      <c r="F95" s="30"/>
      <c r="G95" s="30"/>
      <c r="H95" s="30"/>
    </row>
    <row r="96" spans="2:8">
      <c r="B96" s="30"/>
      <c r="C96" s="30"/>
      <c r="D96" s="30"/>
      <c r="E96" s="30"/>
      <c r="F96" s="30"/>
      <c r="G96" s="30"/>
      <c r="H96" s="30"/>
    </row>
    <row r="97" spans="2:8">
      <c r="B97" s="30"/>
      <c r="C97" s="30"/>
      <c r="D97" s="30"/>
      <c r="E97" s="30"/>
      <c r="F97" s="30"/>
      <c r="G97" s="30"/>
      <c r="H97" s="30"/>
    </row>
    <row r="98" spans="2:8">
      <c r="B98" s="30"/>
      <c r="C98" s="30"/>
      <c r="D98" s="30"/>
      <c r="E98" s="30"/>
      <c r="F98" s="30"/>
      <c r="G98" s="30"/>
      <c r="H98" s="30"/>
    </row>
    <row r="99" spans="2:8">
      <c r="B99" s="30"/>
      <c r="C99" s="30"/>
      <c r="D99" s="30"/>
      <c r="E99" s="30"/>
      <c r="F99" s="30"/>
      <c r="G99" s="30"/>
      <c r="H99" s="30"/>
    </row>
    <row r="101" spans="2:8">
      <c r="B101" s="31"/>
      <c r="C101" s="31"/>
      <c r="D101" s="31"/>
      <c r="E101" s="31"/>
      <c r="F101" s="31"/>
      <c r="G101" s="31"/>
      <c r="H101" s="31"/>
    </row>
    <row r="102" spans="2:8">
      <c r="B102" s="31"/>
      <c r="C102" s="31"/>
      <c r="D102" s="31"/>
      <c r="E102" s="31"/>
      <c r="F102" s="31"/>
      <c r="G102" s="31"/>
      <c r="H102" s="31"/>
    </row>
    <row r="103" spans="2:8">
      <c r="B103" s="31"/>
      <c r="C103" s="31"/>
      <c r="D103" s="31"/>
      <c r="E103" s="31"/>
      <c r="F103" s="31"/>
      <c r="G103" s="31"/>
      <c r="H103" s="31"/>
    </row>
    <row r="104" spans="2:8">
      <c r="B104" s="31"/>
      <c r="C104" s="31"/>
      <c r="D104" s="31"/>
      <c r="E104" s="31"/>
      <c r="F104" s="31"/>
      <c r="G104" s="31"/>
      <c r="H104" s="31"/>
    </row>
    <row r="105" spans="2:8">
      <c r="B105" s="31"/>
      <c r="C105" s="31"/>
      <c r="D105" s="31"/>
      <c r="E105" s="31"/>
      <c r="F105" s="31"/>
      <c r="G105" s="31"/>
      <c r="H105" s="31"/>
    </row>
    <row r="106" spans="2:8">
      <c r="B106" s="31"/>
      <c r="C106" s="31"/>
      <c r="D106" s="31"/>
      <c r="E106" s="31"/>
      <c r="F106" s="31"/>
      <c r="G106" s="31"/>
      <c r="H106" s="31"/>
    </row>
    <row r="107" spans="2:8">
      <c r="B107" s="31"/>
      <c r="C107" s="31"/>
      <c r="D107" s="31"/>
      <c r="E107" s="31"/>
      <c r="F107" s="31"/>
      <c r="G107" s="31"/>
      <c r="H107" s="31"/>
    </row>
    <row r="108" spans="2:8">
      <c r="B108" s="31"/>
      <c r="C108" s="31"/>
      <c r="D108" s="31"/>
      <c r="E108" s="31"/>
      <c r="F108" s="31"/>
      <c r="G108" s="31"/>
      <c r="H108" s="31"/>
    </row>
    <row r="109" spans="2:8">
      <c r="B109" s="31"/>
      <c r="C109" s="31"/>
      <c r="D109" s="31"/>
      <c r="E109" s="31"/>
      <c r="F109" s="31"/>
      <c r="G109" s="31"/>
      <c r="H109" s="31"/>
    </row>
    <row r="110" spans="2:8">
      <c r="B110" s="31"/>
      <c r="C110" s="31"/>
      <c r="D110" s="31"/>
      <c r="E110" s="31"/>
      <c r="F110" s="31"/>
      <c r="G110" s="31"/>
      <c r="H110" s="31"/>
    </row>
    <row r="111" spans="2:8">
      <c r="B111" s="31"/>
      <c r="C111" s="31"/>
      <c r="D111" s="31"/>
      <c r="E111" s="31"/>
      <c r="F111" s="31"/>
      <c r="G111" s="31"/>
      <c r="H111" s="31"/>
    </row>
    <row r="112" spans="2:8">
      <c r="B112" s="31"/>
      <c r="C112" s="31"/>
      <c r="D112" s="31"/>
      <c r="E112" s="31"/>
      <c r="F112" s="31"/>
      <c r="G112" s="31"/>
      <c r="H112" s="31"/>
    </row>
    <row r="113" spans="2:8">
      <c r="B113" s="31"/>
      <c r="C113" s="31"/>
      <c r="D113" s="31"/>
      <c r="E113" s="31"/>
      <c r="F113" s="31"/>
      <c r="G113" s="31"/>
      <c r="H113" s="31"/>
    </row>
    <row r="114" spans="2:8">
      <c r="B114" s="31"/>
      <c r="C114" s="31"/>
      <c r="D114" s="31"/>
      <c r="E114" s="31"/>
      <c r="F114" s="31"/>
      <c r="G114" s="31"/>
      <c r="H114" s="31"/>
    </row>
    <row r="115" spans="2:8">
      <c r="B115" s="31"/>
      <c r="C115" s="31"/>
      <c r="D115" s="31"/>
      <c r="E115" s="31"/>
      <c r="F115" s="31"/>
      <c r="G115" s="31"/>
      <c r="H115" s="31"/>
    </row>
    <row r="116" spans="2:8">
      <c r="B116" s="31"/>
      <c r="C116" s="31"/>
      <c r="D116" s="31"/>
      <c r="E116" s="31"/>
      <c r="F116" s="31"/>
      <c r="G116" s="31"/>
      <c r="H116" s="31"/>
    </row>
    <row r="117" spans="2:8">
      <c r="B117" s="31"/>
      <c r="C117" s="31"/>
      <c r="D117" s="31"/>
      <c r="E117" s="31"/>
      <c r="F117" s="31"/>
      <c r="G117" s="31"/>
      <c r="H117" s="31"/>
    </row>
    <row r="118" spans="2:8">
      <c r="B118" s="31"/>
      <c r="C118" s="31"/>
      <c r="D118" s="31"/>
      <c r="E118" s="31"/>
      <c r="F118" s="31"/>
      <c r="G118" s="31"/>
      <c r="H118" s="31"/>
    </row>
    <row r="119" spans="2:8">
      <c r="B119" s="31"/>
      <c r="C119" s="31"/>
      <c r="D119" s="31"/>
      <c r="E119" s="31"/>
      <c r="F119" s="31"/>
      <c r="G119" s="31"/>
      <c r="H119" s="31"/>
    </row>
    <row r="120" spans="2:8">
      <c r="B120" s="31"/>
      <c r="C120" s="31"/>
      <c r="D120" s="31"/>
      <c r="E120" s="31"/>
      <c r="F120" s="31"/>
      <c r="G120" s="31"/>
      <c r="H120" s="31"/>
    </row>
    <row r="121" spans="2:8">
      <c r="B121" s="31"/>
      <c r="C121" s="31"/>
      <c r="D121" s="31"/>
      <c r="E121" s="31"/>
      <c r="F121" s="31"/>
      <c r="G121" s="31"/>
      <c r="H121" s="31"/>
    </row>
    <row r="122" spans="2:8">
      <c r="B122" s="31"/>
      <c r="C122" s="31"/>
      <c r="D122" s="31"/>
      <c r="E122" s="31"/>
      <c r="F122" s="31"/>
      <c r="G122" s="31"/>
      <c r="H122" s="31"/>
    </row>
    <row r="123" spans="2:8">
      <c r="B123" s="31"/>
      <c r="C123" s="31"/>
      <c r="D123" s="31"/>
      <c r="E123" s="31"/>
      <c r="F123" s="31"/>
      <c r="G123" s="31"/>
      <c r="H123" s="31"/>
    </row>
    <row r="124" spans="2:8">
      <c r="B124" s="31"/>
      <c r="C124" s="31"/>
      <c r="D124" s="31"/>
      <c r="E124" s="31"/>
      <c r="F124" s="31"/>
      <c r="G124" s="31"/>
      <c r="H124" s="31"/>
    </row>
    <row r="125" spans="2:8">
      <c r="B125" s="31"/>
      <c r="C125" s="31"/>
      <c r="D125" s="31"/>
      <c r="E125" s="31"/>
      <c r="F125" s="31"/>
      <c r="G125" s="31"/>
      <c r="H125" s="31"/>
    </row>
    <row r="126" spans="2:8">
      <c r="B126" s="31"/>
      <c r="C126" s="31"/>
      <c r="D126" s="31"/>
      <c r="E126" s="31"/>
      <c r="F126" s="31"/>
      <c r="G126" s="31"/>
      <c r="H126" s="31"/>
    </row>
    <row r="127" spans="2:8">
      <c r="B127" s="31"/>
      <c r="C127" s="31"/>
      <c r="D127" s="31"/>
      <c r="E127" s="31"/>
      <c r="F127" s="31"/>
      <c r="G127" s="31"/>
      <c r="H127" s="31"/>
    </row>
    <row r="128" spans="2:8">
      <c r="B128" s="31"/>
      <c r="C128" s="31"/>
      <c r="D128" s="31"/>
      <c r="E128" s="31"/>
      <c r="F128" s="31"/>
      <c r="G128" s="31"/>
      <c r="H128" s="31"/>
    </row>
    <row r="129" spans="2:8">
      <c r="B129" s="31"/>
      <c r="C129" s="31"/>
      <c r="D129" s="31"/>
      <c r="E129" s="31"/>
      <c r="F129" s="31"/>
      <c r="G129" s="31"/>
      <c r="H129" s="31"/>
    </row>
    <row r="130" spans="2:8">
      <c r="B130" s="31"/>
      <c r="C130" s="31"/>
      <c r="D130" s="31"/>
      <c r="E130" s="31"/>
      <c r="F130" s="31"/>
      <c r="G130" s="31"/>
      <c r="H130" s="31"/>
    </row>
    <row r="131" spans="2:8">
      <c r="B131" s="31"/>
      <c r="C131" s="31"/>
      <c r="D131" s="31"/>
      <c r="E131" s="31"/>
      <c r="F131" s="31"/>
      <c r="G131" s="31"/>
      <c r="H131" s="31"/>
    </row>
    <row r="132" spans="2:8">
      <c r="B132" s="31"/>
      <c r="C132" s="31"/>
      <c r="D132" s="31"/>
      <c r="E132" s="31"/>
      <c r="F132" s="31"/>
      <c r="G132" s="31"/>
      <c r="H132" s="31"/>
    </row>
    <row r="133" spans="2:8">
      <c r="B133" s="31"/>
      <c r="C133" s="31"/>
      <c r="D133" s="31"/>
      <c r="E133" s="31"/>
      <c r="F133" s="31"/>
      <c r="G133" s="31"/>
      <c r="H133" s="31"/>
    </row>
    <row r="134" spans="2:8">
      <c r="B134" s="31"/>
      <c r="C134" s="31"/>
      <c r="D134" s="31"/>
      <c r="E134" s="31"/>
      <c r="F134" s="31"/>
      <c r="G134" s="31"/>
      <c r="H134" s="31"/>
    </row>
    <row r="135" spans="2:8">
      <c r="B135" s="31"/>
      <c r="C135" s="31"/>
      <c r="D135" s="31"/>
      <c r="E135" s="31"/>
      <c r="F135" s="31"/>
      <c r="G135" s="31"/>
      <c r="H135" s="31"/>
    </row>
  </sheetData>
  <mergeCells count="2">
    <mergeCell ref="B9:H99"/>
    <mergeCell ref="B101:H135"/>
  </mergeCell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Question</vt:lpstr>
      <vt:lpstr>Data</vt:lpstr>
      <vt:lpstr>Mann Whitney U Analysis</vt:lpstr>
      <vt:lpstr>ANCOVA Analysis</vt:lpstr>
      <vt:lpstr>Alabama_Football_Testing</vt:lpstr>
      <vt:lpstr>ANCOVA Assumption Testing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ty mcelroy</cp:lastModifiedBy>
  <dcterms:created xsi:type="dcterms:W3CDTF">2026-10-18T17:29:14Z</dcterms:created>
  <dcterms:modified xsi:type="dcterms:W3CDTF">2026-10-18T17:39:07Z</dcterms:modified>
</cp:coreProperties>
</file>